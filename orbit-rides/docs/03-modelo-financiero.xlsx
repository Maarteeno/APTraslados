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ctura" sheetId="1" state="visible" r:id="rId3"/>
    <sheet name="Supuestos" sheetId="2" state="visible" r:id="rId4"/>
    <sheet name="BreakEven_Conductor" sheetId="3" state="visible" r:id="rId5"/>
    <sheet name="Unit_Economics" sheetId="4" state="visible" r:id="rId6"/>
    <sheet name="PL_Plataforma" sheetId="5" state="visible" r:id="rId7"/>
    <sheet name="Sensibilida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<sst xmlns="http://schemas.openxmlformats.org/spreadsheetml/2006/main" count="242" uniqueCount="219">
  <si>
    <t xml:space="preserve">Orbit Rides — Modelo financiero (unit economics y sensibilidad de planes)</t>
  </si>
  <si>
    <t xml:space="preserve">Versión 0.1 · 27/07/2026 · construido sobre los supuestos de la hoja "Supuestos"</t>
  </si>
  <si>
    <t xml:space="preserve">Cómo usar este modelo</t>
  </si>
  <si>
    <t xml:space="preserve">Editá SOLO las celdas en AZUL de la hoja "Supuestos". Todo lo demás son fórmulas y se recalcula solo.</t>
  </si>
  <si>
    <t xml:space="preserve">Las celdas con FONDO AMARILLO son los supuestos que más mueven el resultado y los que debés verificar primero.</t>
  </si>
  <si>
    <t xml:space="preserve">Hojas</t>
  </si>
  <si>
    <t xml:space="preserve">Supuestos — todos los inputs: tarifa, volumen, planes, costos de procesamiento, costos fijos.</t>
  </si>
  <si>
    <t xml:space="preserve">BreakEven_Conductor — a partir de qué facturación le conviene a un conductor pagar Pro o Plus.</t>
  </si>
  <si>
    <t xml:space="preserve">Unit_Economics — cuánto te deja al mes un conductor de cada plan, y de dónde sale la plata.</t>
  </si>
  <si>
    <t xml:space="preserve">PL_Plataforma — proyección de 12 meses con crecimiento de conductores y mix de planes.</t>
  </si>
  <si>
    <t xml:space="preserve">Sensibilidad — grilla precio Pro × comisión Pro. Acá está la conclusión del modelo.</t>
  </si>
  <si>
    <t xml:space="preserve">La conclusión, corta</t>
  </si>
  <si>
    <t xml:space="preserve">Con comisión Pro al 2% y pago con tarjeta, cada viaje de un conductor Pro te deja margen negativo:</t>
  </si>
  <si>
    <t xml:space="preserve">la comisión (2%) es menor que el costo de procesar la tarjeta (~3,5% + fijo). La suscripción de US$ 70</t>
  </si>
  <si>
    <t xml:space="preserve">tapa el agujero solo si el conductor hace POCOS viajes — o sea que tu mejor cliente sería el que menos</t>
  </si>
  <si>
    <t xml:space="preserve">usa el producto. Eso es un modelo invertido. La hoja Sensibilidad muestra dónde se da vuelta.</t>
  </si>
  <si>
    <t xml:space="preserve">El plan Plus de US$ 150 con comisión 0% exige que el conductor facture más de lo que factura un</t>
  </si>
  <si>
    <t xml:space="preserve">conductor full-time en Uruguay para que le convenga sobre Pro. Hoy ese plan no tiene mercado local.</t>
  </si>
  <si>
    <t xml:space="preserve">Advertencia sobre las fuentes</t>
  </si>
  <si>
    <t xml:space="preserve">Los supuestos NO son datos verificados. Son estimaciones de partida marcadas como tal en cada celda.</t>
  </si>
  <si>
    <t xml:space="preserve">Antes de tomar cualquier decisión de precio hay que confirmar: (1) tasas reales de MercadoPago Uruguay,</t>
  </si>
  <si>
    <t xml:space="preserve">(2) tarifa promedio real de un viaje urbano en Montevideo, (3) facturación mensual real de un conductor,</t>
  </si>
  <si>
    <t xml:space="preserve">(4) tipo de cambio. Los cuatro cambian el resultado de forma material.</t>
  </si>
  <si>
    <t xml:space="preserve">Resultado con los supuestos actuales (se actualiza solo)</t>
  </si>
  <si>
    <t xml:space="preserve">Valor</t>
  </si>
  <si>
    <t xml:space="preserve">Qué significa</t>
  </si>
  <si>
    <t xml:space="preserve">Margen por conductor FREE (UYU/mes)</t>
  </si>
  <si>
    <t xml:space="preserve">Tu plan sin cuota.</t>
  </si>
  <si>
    <t xml:space="preserve">Margen por conductor PRO (UYU/mes)</t>
  </si>
  <si>
    <t xml:space="preserve">Con cuota US$ 70 y comisión 2%.</t>
  </si>
  <si>
    <t xml:space="preserve">Margen por conductor PLUS (UYU/mes)</t>
  </si>
  <si>
    <t xml:space="preserve">Con cuota US$ 150 y comisión 0%.</t>
  </si>
  <si>
    <t xml:space="preserve">Diferencia Pro vs Free</t>
  </si>
  <si>
    <t xml:space="preserve">NEGATIVO = un conductor Pro te deja MENOS que el mismo conductor en Free.</t>
  </si>
  <si>
    <t xml:space="preserve">Resultado de un viaje Pro con tarjeta (UYU)</t>
  </si>
  <si>
    <t xml:space="preserve">Sin contar la suscripción. Negativo = perdés en cada viaje.</t>
  </si>
  <si>
    <t xml:space="preserve">Comisión mínima — viaje promedio (mix de pagos)</t>
  </si>
  <si>
    <t xml:space="preserve">Umbral del P&amp;L mensual. Pondera el procesamiento por el % de tarjeta.</t>
  </si>
  <si>
    <t xml:space="preserve">Facturación desde la que Pro le conviene al conductor</t>
  </si>
  <si>
    <t xml:space="preserve">En USD/mes. Comparar con lo que factura un conductor real.</t>
  </si>
  <si>
    <t xml:space="preserve">Facturación desde la que Plus le conviene</t>
  </si>
  <si>
    <t xml:space="preserve">Si supera lo que factura un full-time, ese plan no tiene mercado.</t>
  </si>
  <si>
    <t xml:space="preserve">Comisión mínima — viaje con tarjeta (estricto)</t>
  </si>
  <si>
    <t xml:space="preserve">Si un conductor cobra todo con tarjeta, por debajo de esto pierde plata en cada viaje.</t>
  </si>
  <si>
    <t xml:space="preserve">Lo que dice este bloque, en una frase:</t>
  </si>
  <si>
    <t xml:space="preserve">Con los supuestos de partida, el plan FREE al 12% es tu cliente MÁS rentable, y cada escalón de</t>
  </si>
  <si>
    <t xml:space="preserve">suscripción destruye margen en lugar de crearlo. No es que el precio esté bajo: es que la comisión</t>
  </si>
  <si>
    <t xml:space="preserve">del 2% no alcanza a cubrir el costo de procesar el pago. Arreglás esto subiendo la comisión Pro</t>
  </si>
  <si>
    <t xml:space="preserve">a ~5% (ver la grilla de Sensibilidad) o agregando un fee de servicio al pasajero (Supuestos!C11).</t>
  </si>
  <si>
    <t xml:space="preserve">Supuestos</t>
  </si>
  <si>
    <t xml:space="preserve">Celdas azules = editables. Fondo amarillo = verificar antes de decidir precios.</t>
  </si>
  <si>
    <t xml:space="preserve">Macro</t>
  </si>
  <si>
    <t xml:space="preserve">Fuente / nota</t>
  </si>
  <si>
    <t xml:space="preserve">Tipo de cambio (UYU por USD)</t>
  </si>
  <si>
    <t xml:space="preserve">ESTIMACIÓN. Verificar cotización BCU del día.</t>
  </si>
  <si>
    <t xml:space="preserve">Demanda y tarifa</t>
  </si>
  <si>
    <t xml:space="preserve">Tarifa promedio por viaje (UYU)</t>
  </si>
  <si>
    <t xml:space="preserve">ESTIMACIÓN de viaje urbano en Montevideo. Verificar con datos reales.</t>
  </si>
  <si>
    <t xml:space="preserve">Viajes por conductor activo por mes</t>
  </si>
  <si>
    <t xml:space="preserve">ESTIMACIÓN: ~6 viajes/día × 30 días. Verificar en entrevistas a conductores.</t>
  </si>
  <si>
    <t xml:space="preserve">% de viajes pagados con tarjeta</t>
  </si>
  <si>
    <t xml:space="preserve">ESTIMACIÓN. En Uruguay el efectivo sigue siendo fuerte; medir en piloto.</t>
  </si>
  <si>
    <t xml:space="preserve">Fee de servicio al pasajero (UYU/viaje)</t>
  </si>
  <si>
    <t xml:space="preserve">DECISIÓN TUYA. Hoy en 0. Poner 20-30 cambia todo el modelo (probalo).</t>
  </si>
  <si>
    <t xml:space="preserve">Costos de procesamiento de pagos</t>
  </si>
  <si>
    <t xml:space="preserve">Tarjeta: % sobre el monto</t>
  </si>
  <si>
    <t xml:space="preserve">ESTIMACIÓN MercadoPago Uruguay. VERIFICAR: mueve todo el resultado.</t>
  </si>
  <si>
    <t xml:space="preserve">Tarjeta: costo fijo por transacción (UYU)</t>
  </si>
  <si>
    <t xml:space="preserve">ESTIMACIÓN. Verificar con MercadoPago.</t>
  </si>
  <si>
    <t xml:space="preserve">Suscripción: % sobre el monto</t>
  </si>
  <si>
    <t xml:space="preserve">ESTIMACIÓN de cobro recurrente. Verificar.</t>
  </si>
  <si>
    <t xml:space="preserve">Costos variables por viaje</t>
  </si>
  <si>
    <t xml:space="preserve">Mapas y ruteo (UYU/viaje)</t>
  </si>
  <si>
    <t xml:space="preserve">ESTIMACIÓN Mapbox. Escala con intentos de dispatch, no con viajes: puede ser más.</t>
  </si>
  <si>
    <t xml:space="preserve">Soporte y operaciones (UYU/viaje)</t>
  </si>
  <si>
    <t xml:space="preserve">ESTIMACIÓN. Sube mucho si el % de incidencias es alto.</t>
  </si>
  <si>
    <t xml:space="preserve">Planes de conductor</t>
  </si>
  <si>
    <t xml:space="preserve">Plan</t>
  </si>
  <si>
    <t xml:space="preserve">Cuota (USD/mes)</t>
  </si>
  <si>
    <t xml:space="preserve">Comisión</t>
  </si>
  <si>
    <t xml:space="preserve">Nota</t>
  </si>
  <si>
    <t xml:space="preserve">Free</t>
  </si>
  <si>
    <t xml:space="preserve">Tu propuesta. 12% ya es menos de la mitad de Uber (~25%).</t>
  </si>
  <si>
    <t xml:space="preserve">Pro</t>
  </si>
  <si>
    <t xml:space="preserve">Tu propuesta. Ver hoja Sensibilidad: al 2% con tarjeta da margen negativo.</t>
  </si>
  <si>
    <t xml:space="preserve">Plus</t>
  </si>
  <si>
    <t xml:space="preserve">Tu propuesta (comisión no estaba definida; asumo 0%). Sin mercado local hoy.</t>
  </si>
  <si>
    <t xml:space="preserve">Mix de conductores por plan (debe sumar 100%)</t>
  </si>
  <si>
    <t xml:space="preserve">% en Free</t>
  </si>
  <si>
    <t xml:space="preserve">ESTIMACIÓN. Ojo con la selección adversa: los de alto volumen migran a Pro.</t>
  </si>
  <si>
    <t xml:space="preserve">% en Pro</t>
  </si>
  <si>
    <t xml:space="preserve">ESTIMACIÓN.</t>
  </si>
  <si>
    <t xml:space="preserve">% en Plus</t>
  </si>
  <si>
    <t xml:space="preserve">Control: suma del mix</t>
  </si>
  <si>
    <t xml:space="preserve">Tiene que dar 100,0%.</t>
  </si>
  <si>
    <t xml:space="preserve">Crecimiento y costos fijos</t>
  </si>
  <si>
    <t xml:space="preserve">Conductores activos en el mes 1</t>
  </si>
  <si>
    <t xml:space="preserve">Plan de lanzamiento: reclutados a mano.</t>
  </si>
  <si>
    <t xml:space="preserve">Crecimiento mensual de conductores</t>
  </si>
  <si>
    <t xml:space="preserve">ESTIMACIÓN agresiva. 25%/mes sostenido es difícil.</t>
  </si>
  <si>
    <t xml:space="preserve">Infraestructura (USD/mes)</t>
  </si>
  <si>
    <t xml:space="preserve">Contenedores + Postgres + Redis administrados.</t>
  </si>
  <si>
    <t xml:space="preserve">Equipo (USD/mes)</t>
  </si>
  <si>
    <t xml:space="preserve">ESTIMACIÓN: 2-3 devs. El costo dominante. Ajustar a tu realidad.</t>
  </si>
  <si>
    <t xml:space="preserve">Legal y contable (USD/mes)</t>
  </si>
  <si>
    <t xml:space="preserve">Regulatorio, URCDP, DGI, seguros.</t>
  </si>
  <si>
    <t xml:space="preserve">Marketing y adquisición (USD/mes)</t>
  </si>
  <si>
    <t xml:space="preserve">ESTIMACIÓN. Incentivos de arranque en frío pueden ser mucho más.</t>
  </si>
  <si>
    <t xml:space="preserve">Total costos fijos (USD/mes)</t>
  </si>
  <si>
    <t xml:space="preserve">Total costos fijos (UYU/mes)</t>
  </si>
  <si>
    <t xml:space="preserve">¿Desde qué facturación le conviene al conductor pagar?</t>
  </si>
  <si>
    <t xml:space="preserve">Ingreso NETO del conductor (después de comisión y de la cuota del plan), en UYU/mes.</t>
  </si>
  <si>
    <t xml:space="preserve">Punto de indiferencia entre planes</t>
  </si>
  <si>
    <t xml:space="preserve">Concepto</t>
  </si>
  <si>
    <t xml:space="preserve">Facturación bruta (UYU/mes)</t>
  </si>
  <si>
    <t xml:space="preserve">Equivale a (viajes/mes)</t>
  </si>
  <si>
    <t xml:space="preserve">En USD/mes</t>
  </si>
  <si>
    <t xml:space="preserve">Free → Pro le conviene desde</t>
  </si>
  <si>
    <t xml:space="preserve">Pro → Plus le conviene desde</t>
  </si>
  <si>
    <t xml:space="preserve">Free → Plus le conviene desde</t>
  </si>
  <si>
    <t xml:space="preserve">Referencia: facturación de un conductor con los supuestos actuales</t>
  </si>
  <si>
    <t xml:space="preserve">Si el punto de indiferencia está MUY por encima de la fila 9, ese plan no tiene mercado.</t>
  </si>
  <si>
    <t xml:space="preserve">Ingreso neto del conductor según facturación y plan (UYU/mes)</t>
  </si>
  <si>
    <t xml:space="preserve">Viajes/mes equiv.</t>
  </si>
  <si>
    <t xml:space="preserve">Neto en Free</t>
  </si>
  <si>
    <t xml:space="preserve">Neto en Pro</t>
  </si>
  <si>
    <t xml:space="preserve">Neto en Plus</t>
  </si>
  <si>
    <t xml:space="preserve">Mejor plan</t>
  </si>
  <si>
    <t xml:space="preserve">Ventaja del mejor vs Free</t>
  </si>
  <si>
    <t xml:space="preserve">La columna azul es editable: cambiá los niveles de facturación que quieras evaluar.</t>
  </si>
  <si>
    <t xml:space="preserve">¿Cuánto te deja al mes un conductor de cada plan?</t>
  </si>
  <si>
    <t xml:space="preserve">Todo en UYU/mes, para UN conductor con los viajes/mes de la hoja Supuestos.</t>
  </si>
  <si>
    <t xml:space="preserve">Margen de contribución por conductor y por mes</t>
  </si>
  <si>
    <t xml:space="preserve">Viajes por mes</t>
  </si>
  <si>
    <t xml:space="preserve">Facturación bruta del conductor (GMV)</t>
  </si>
  <si>
    <t xml:space="preserve">Esto NO es tu ingreso: es lo que paga el pasajero.</t>
  </si>
  <si>
    <t xml:space="preserve">INGRESOS</t>
  </si>
  <si>
    <t xml:space="preserve">Ingreso por comisión</t>
  </si>
  <si>
    <t xml:space="preserve">GMV × comisión del plan.</t>
  </si>
  <si>
    <t xml:space="preserve">Ingreso por fee de servicio</t>
  </si>
  <si>
    <t xml:space="preserve">Hoy 0. Es la palanca más limpia para cubrir el procesamiento.</t>
  </si>
  <si>
    <t xml:space="preserve">Ingreso por suscripción</t>
  </si>
  <si>
    <t xml:space="preserve">Cuota mensual convertida a UYU.</t>
  </si>
  <si>
    <t xml:space="preserve">Ingresos totales</t>
  </si>
  <si>
    <t xml:space="preserve">COSTOS</t>
  </si>
  <si>
    <t xml:space="preserve">Procesamiento de viajes con tarjeta</t>
  </si>
  <si>
    <t xml:space="preserve">Se aplica sobre el GMV completo, no sobre tu comisión. Acá está el problema.</t>
  </si>
  <si>
    <t xml:space="preserve">Procesamiento de la suscripción</t>
  </si>
  <si>
    <t xml:space="preserve">Mapas, ruteo, soporte</t>
  </si>
  <si>
    <t xml:space="preserve">Costos totales</t>
  </si>
  <si>
    <t xml:space="preserve">MARGEN DE CONTRIBUCIÓN por conductor/mes</t>
  </si>
  <si>
    <t xml:space="preserve">Si esto es negativo, cada conductor de ese plan te cuesta plata.</t>
  </si>
  <si>
    <t xml:space="preserve">Margen por viaje</t>
  </si>
  <si>
    <t xml:space="preserve">Take rate efectivo sobre GMV</t>
  </si>
  <si>
    <t xml:space="preserve">Lo que realmente te queda del dinero que mueve la plataforma.</t>
  </si>
  <si>
    <t xml:space="preserve">Prueba del problema: el viaje con tarjeta de un conductor Pro</t>
  </si>
  <si>
    <t xml:space="preserve">Tarifa del viaje (UYU)</t>
  </si>
  <si>
    <t xml:space="preserve">Comisión que cobrás (plan Pro)</t>
  </si>
  <si>
    <t xml:space="preserve">Tu ingreso por ese viaje.</t>
  </si>
  <si>
    <t xml:space="preserve">Fee de servicio al pasajero</t>
  </si>
  <si>
    <t xml:space="preserve">Hoy 0.</t>
  </si>
  <si>
    <t xml:space="preserve">Costo de procesar la tarjeta</t>
  </si>
  <si>
    <t xml:space="preserve">Se cobra sobre la tarifa completa.</t>
  </si>
  <si>
    <t xml:space="preserve">Mapas, ruteo y soporte</t>
  </si>
  <si>
    <t xml:space="preserve">RESULTADO del viaje (sin suscripción)</t>
  </si>
  <si>
    <t xml:space="preserve">Negativo = perdés plata en ESE viaje. Ojo: el margen mensual de la fila 21 ya pondera el mix de pagos.</t>
  </si>
  <si>
    <t xml:space="preserve">Viajes/mes que la suscripción alcanza a subsidiar</t>
  </si>
  <si>
    <t xml:space="preserve">Si este número es MENOR a los viajes/mes reales, el plan pierde dinero.</t>
  </si>
  <si>
    <t xml:space="preserve">Viajes/mes reales del supuesto</t>
  </si>
  <si>
    <t xml:space="preserve">Proyección 12 meses (UYU)</t>
  </si>
  <si>
    <t xml:space="preserve">Crecimiento de conductores y mix de planes desde la hoja Supuestos. Escenario ilustrativo, no un pronóstico.</t>
  </si>
  <si>
    <t xml:space="preserve">Mes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</si>
  <si>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</si>
  <si>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</si>
  <si>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</si>
  <si>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</si>
  <si>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</si>
  <si>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</si>
  <si>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</si>
  <si>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</si>
  <si>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</si>
  <si>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</si>
  <si>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</si>
  <si>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</si>
  <si>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Conductores activos</t>
  </si>
  <si>
    <t xml:space="preserve">  en Free</t>
  </si>
  <si>
    <t xml:space="preserve">  en Pro</t>
  </si>
  <si>
    <t xml:space="preserve">  en Plus</t>
  </si>
  <si>
    <t xml:space="preserve">Viajes totales</t>
  </si>
  <si>
    <t xml:space="preserve">GMV (lo que pagan los pasajeros)</t>
  </si>
  <si>
    <t xml:space="preserve">Ingreso por suscripciones</t>
  </si>
  <si>
    <t xml:space="preserve">Procesamiento de viajes</t>
  </si>
  <si>
    <t xml:space="preserve">Procesamiento de suscripciones</t>
  </si>
  <si>
    <t xml:space="preserve">Margen de contribución</t>
  </si>
  <si>
    <t xml:space="preserve">Costos fijos</t>
  </si>
  <si>
    <t xml:space="preserve">RESULTADO OPERATIVO (EBITDA)</t>
  </si>
  <si>
    <t xml:space="preserve">Margen de contribución por conductor</t>
  </si>
  <si>
    <t xml:space="preserve">EBITDA en USD</t>
  </si>
  <si>
    <t xml:space="preserve">Nota: el mix de planes se mantiene constante, lo cual es optimista. En la práctica los conductores de</t>
  </si>
  <si>
    <t xml:space="preserve">alto volumen migran a Pro (selección adversa) y el take rate mezclado baja con el tiempo.</t>
  </si>
  <si>
    <t xml:space="preserve">Sensibilidad del plan Pro: precio × comisión</t>
  </si>
  <si>
    <t xml:space="preserve">Margen de contribución por conductor Pro, en UYU/mes. Rojo mental = negativo.</t>
  </si>
  <si>
    <t xml:space="preserve">Usa los viajes/mes, tarifa, % tarjeta y costos de la hoja Supuestos. Los ejes son editables (azul).</t>
  </si>
  <si>
    <t xml:space="preserve">Margen de contribución por conductor Pro (UYU/mes)</t>
  </si>
  <si>
    <t xml:space="preserve">Comisión Pro  ↓   /   Cuota USD →</t>
  </si>
  <si>
    <t xml:space="preserve">Referencias</t>
  </si>
  <si>
    <t xml:space="preserve">Tu propuesta actual (US$ 70 / 2%)</t>
  </si>
  <si>
    <t xml:space="preserve">Fila de 2%, columna de US$ 70.</t>
  </si>
  <si>
    <t xml:space="preserve">Comisión mínima — viaje PROMEDIO (mix de pagos)</t>
  </si>
  <si>
    <t xml:space="preserve">Pondera el procesamiento por el % de viajes con tarjeta. Es el umbral del P&amp;L mensual.</t>
  </si>
  <si>
    <t xml:space="preserve">Margen de un conductor Free (referencia)</t>
  </si>
  <si>
    <t xml:space="preserve">Para comparar contra las celdas de arriba.</t>
  </si>
  <si>
    <t xml:space="preserve">Comisión mínima — viaje pagado CON TARJETA</t>
  </si>
  <si>
    <t xml:space="preserve">Umbral estricto: ese viaje carga el 100% del costo de procesar. Si el conductor puede cobrar todo con tarjeta, este es el número que manda.</t>
  </si>
  <si>
    <t xml:space="preserve">Cómo leer esta grilla</t>
  </si>
  <si>
    <t xml:space="preserve">· Buscá la primera columna donde tu fila de comisión deja de ser negativa: esa es la cuota mínima viable.</t>
  </si>
  <si>
    <t xml:space="preserve">· Bajá por la columna de US$ 70 y fijate a qué comisión el margen se vuelve cómodo: esa es la comisión que deberías cobrar.</t>
  </si>
  <si>
    <t xml:space="preserve">· Poné un fee de servicio de 20-30 UYU en Supuestos!C11 y volvé acá. La grilla entera se corre para arriba.</t>
  </si>
  <si>
    <t xml:space="preserve">· Un margen positivo acá NO alcanza: todavía tiene que cubrir los costos fijos de la hoja PL_Plataforma.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</si>
</sst>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[RED]\(#,##0\);\-"/>
    <numFmt numFmtId="166" formatCode="#,##0.00;[RED]\(#,##0.00\);\-"/>
    <numFmt numFmtId="167" formatCode="0.00%"/>
    <numFmt numFmtId="168" formatCode="\$#,##0"/>
    <numFmt numFmtId="169" formatCode="#,##0.00"/>
    <numFmt numFmtId="170" formatCode="#,##0"/>
    <numFmt numFmtId="171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2B4C"/>
      <name val="Arial"/>
      <family val="0"/>
      <charset val="1"/>
    </font>
    <font>
      <i val="true"/>
      <sz val="9"/>
      <color rgb="FF60606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2B4C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0F0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0F0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B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0"/>
    <col collapsed="false" customWidth="true" hidden="false" outlineLevel="0" max="3" min="3" style="1" width="16"/>
    <col collapsed="false" customWidth="true" hidden="false" outlineLevel="0" max="4" min="4" style="1" width="60"/>
  </cols>
  <sheetData>
    <row r="1" customFormat="false" ht="17.25" hidden="false" customHeight="true" outlineLevel="0" collapsed="false">
      <c r="B1" s="2" t="s">
        <v>0</v>
      </c>
    </row>
    <row r="2" customFormat="false" ht="15" hidden="false" customHeight="true" outlineLevel="0" collapsed="false">
      <c r="B2" s="3" t="s">
        <v>1</v>
      </c>
    </row>
    <row r="4" customFormat="false" ht="15" hidden="false" customHeight="true" outlineLevel="0" collapsed="false">
      <c r="B4" s="4" t="s">
        <v>2</v>
      </c>
    </row>
    <row r="5" customFormat="false" ht="15" hidden="false" customHeight="true" outlineLevel="0" collapsed="false">
      <c r="B5" s="5" t="s">
        <v>3</v>
      </c>
    </row>
    <row r="6" customFormat="false" ht="15" hidden="false" customHeight="true" outlineLevel="0" collapsed="false">
      <c r="B6" s="5" t="s">
        <v>4</v>
      </c>
    </row>
    <row r="8" customFormat="false" ht="15" hidden="false" customHeight="true" outlineLevel="0" collapsed="false">
      <c r="B8" s="4" t="s">
        <v>5</v>
      </c>
    </row>
    <row r="9" customFormat="false" ht="15" hidden="false" customHeight="true" outlineLevel="0" collapsed="false">
      <c r="B9" s="5" t="s">
        <v>6</v>
      </c>
    </row>
    <row r="10" customFormat="false" ht="15" hidden="false" customHeight="true" outlineLevel="0" collapsed="false">
      <c r="B10" s="5" t="s">
        <v>7</v>
      </c>
    </row>
    <row r="11" customFormat="false" ht="15" hidden="false" customHeight="true" outlineLevel="0" collapsed="false">
      <c r="B11" s="5" t="s">
        <v>8</v>
      </c>
    </row>
    <row r="12" customFormat="false" ht="15" hidden="false" customHeight="true" outlineLevel="0" collapsed="false">
      <c r="B12" s="5" t="s">
        <v>9</v>
      </c>
    </row>
    <row r="13" customFormat="false" ht="15" hidden="false" customHeight="true" outlineLevel="0" collapsed="false">
      <c r="B13" s="5" t="s">
        <v>10</v>
      </c>
    </row>
    <row r="15" customFormat="false" ht="15" hidden="false" customHeight="true" outlineLevel="0" collapsed="false">
      <c r="B15" s="4" t="s">
        <v>11</v>
      </c>
    </row>
    <row r="16" customFormat="false" ht="15" hidden="false" customHeight="true" outlineLevel="0" collapsed="false">
      <c r="B16" s="5" t="s">
        <v>12</v>
      </c>
    </row>
    <row r="17" customFormat="false" ht="15" hidden="false" customHeight="true" outlineLevel="0" collapsed="false">
      <c r="B17" s="5" t="s">
        <v>13</v>
      </c>
    </row>
    <row r="18" customFormat="false" ht="15" hidden="false" customHeight="true" outlineLevel="0" collapsed="false">
      <c r="B18" s="5" t="s">
        <v>14</v>
      </c>
    </row>
    <row r="19" customFormat="false" ht="15" hidden="false" customHeight="true" outlineLevel="0" collapsed="false">
      <c r="B19" s="5" t="s">
        <v>15</v>
      </c>
    </row>
    <row r="21" customFormat="false" ht="15" hidden="false" customHeight="true" outlineLevel="0" collapsed="false">
      <c r="B21" s="5" t="s">
        <v>16</v>
      </c>
    </row>
    <row r="22" customFormat="false" ht="15" hidden="false" customHeight="true" outlineLevel="0" collapsed="false">
      <c r="B22" s="5" t="s">
        <v>17</v>
      </c>
    </row>
    <row r="24" customFormat="false" ht="15" hidden="false" customHeight="true" outlineLevel="0" collapsed="false">
      <c r="B24" s="4" t="s">
        <v>18</v>
      </c>
    </row>
    <row r="25" customFormat="false" ht="15" hidden="false" customHeight="true" outlineLevel="0" collapsed="false">
      <c r="B25" s="5" t="s">
        <v>19</v>
      </c>
    </row>
    <row r="26" customFormat="false" ht="15" hidden="false" customHeight="true" outlineLevel="0" collapsed="false">
      <c r="B26" s="5" t="s">
        <v>20</v>
      </c>
    </row>
    <row r="27" customFormat="false" ht="15" hidden="false" customHeight="true" outlineLevel="0" collapsed="false">
      <c r="B27" s="5" t="s">
        <v>21</v>
      </c>
    </row>
    <row r="28" customFormat="false" ht="15" hidden="false" customHeight="true" outlineLevel="0" collapsed="false">
      <c r="B28" s="5" t="s">
        <v>22</v>
      </c>
    </row>
    <row r="31" customFormat="false" ht="15" hidden="false" customHeight="true" outlineLevel="0" collapsed="false">
      <c r="B31" s="6" t="s">
        <v>23</v>
      </c>
      <c r="C31" s="6" t="s">
        <v>24</v>
      </c>
      <c r="D31" s="6" t="s">
        <v>25</v>
      </c>
    </row>
    <row r="32" customFormat="false" ht="15" hidden="false" customHeight="true" outlineLevel="0" collapsed="false">
      <c r="B32" s="7" t="s">
        <v>26</v>
      </c>
      <c r="C32" s="8" t="n">
        <f aca="false">Unit_Economics!C21</f>
        <v>4797</v>
      </c>
      <c r="D32" s="3" t="s">
        <v>27</v>
      </c>
    </row>
    <row r="33" customFormat="false" ht="15" hidden="false" customHeight="true" outlineLevel="0" collapsed="false">
      <c r="B33" s="7" t="s">
        <v>28</v>
      </c>
      <c r="C33" s="8" t="n">
        <f aca="false">Unit_Economics!D21</f>
        <v>1199</v>
      </c>
      <c r="D33" s="3" t="s">
        <v>29</v>
      </c>
    </row>
    <row r="34" customFormat="false" ht="15" hidden="false" customHeight="true" outlineLevel="0" collapsed="false">
      <c r="B34" s="7" t="s">
        <v>30</v>
      </c>
      <c r="C34" s="8" t="n">
        <f aca="false">Unit_Economics!E21</f>
        <v>3027</v>
      </c>
      <c r="D34" s="3" t="s">
        <v>31</v>
      </c>
    </row>
    <row r="35" customFormat="false" ht="15" hidden="false" customHeight="true" outlineLevel="0" collapsed="false">
      <c r="B35" s="7" t="s">
        <v>32</v>
      </c>
      <c r="C35" s="8" t="n">
        <f aca="false">Unit_Economics!D21-Unit_Economics!C21</f>
        <v>-3598</v>
      </c>
      <c r="D35" s="3" t="s">
        <v>33</v>
      </c>
    </row>
    <row r="36" customFormat="false" ht="15" hidden="false" customHeight="true" outlineLevel="0" collapsed="false">
      <c r="B36" s="7" t="s">
        <v>34</v>
      </c>
      <c r="C36" s="9" t="n">
        <f aca="false">Unit_Economics!C31</f>
        <v>-15.25</v>
      </c>
      <c r="D36" s="3" t="s">
        <v>35</v>
      </c>
    </row>
    <row r="37" customFormat="false" ht="15" hidden="false" customHeight="true" outlineLevel="0" collapsed="false">
      <c r="B37" s="7" t="s">
        <v>36</v>
      </c>
      <c r="C37" s="10" t="n">
        <f aca="false">Sensibilidad!C19</f>
        <v>0.0438571428571429</v>
      </c>
      <c r="D37" s="3" t="s">
        <v>37</v>
      </c>
    </row>
    <row r="38" customFormat="false" ht="15" hidden="false" customHeight="true" outlineLevel="0" collapsed="false">
      <c r="B38" s="7" t="s">
        <v>38</v>
      </c>
      <c r="C38" s="11" t="n">
        <f aca="false">BreakEven_Conductor!E6</f>
        <v>700</v>
      </c>
      <c r="D38" s="3" t="s">
        <v>39</v>
      </c>
    </row>
    <row r="39" customFormat="false" ht="15" hidden="false" customHeight="true" outlineLevel="0" collapsed="false">
      <c r="B39" s="7" t="s">
        <v>40</v>
      </c>
      <c r="C39" s="11" t="n">
        <f aca="false">BreakEven_Conductor!E7</f>
        <v>4000</v>
      </c>
      <c r="D39" s="3" t="s">
        <v>41</v>
      </c>
    </row>
    <row r="40" customFormat="false" ht="15" hidden="false" customHeight="false" outlineLevel="0" collapsed="false">
      <c r="B40" s="12" t="s">
        <v>42</v>
      </c>
      <c r="C40" s="13" t="n">
        <f aca="false">Sensibilidad!C21</f>
        <v>0.0635714285714286</v>
      </c>
      <c r="D40" s="14" t="s">
        <v>43</v>
      </c>
    </row>
    <row r="41" customFormat="false" ht="15" hidden="false" customHeight="true" outlineLevel="0" collapsed="false">
      <c r="B41" s="4" t="s">
        <v>44</v>
      </c>
    </row>
    <row r="42" customFormat="false" ht="15" hidden="false" customHeight="true" outlineLevel="0" collapsed="false">
      <c r="B42" s="7" t="s">
        <v>45</v>
      </c>
    </row>
    <row r="43" customFormat="false" ht="15" hidden="false" customHeight="true" outlineLevel="0" collapsed="false">
      <c r="B43" s="7" t="s">
        <v>46</v>
      </c>
    </row>
    <row r="44" customFormat="false" ht="15" hidden="false" customHeight="true" outlineLevel="0" collapsed="false">
      <c r="B44" s="7" t="s">
        <v>47</v>
      </c>
    </row>
    <row r="45" customFormat="false" ht="15" hidden="false" customHeight="true" outlineLevel="0" collapsed="false">
      <c r="B45" s="7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74"/>
  </cols>
  <sheetData>
    <row r="1" customFormat="false" ht="17.25" hidden="false" customHeight="true" outlineLevel="0" collapsed="false">
      <c r="B1" s="2" t="s">
        <v>49</v>
      </c>
    </row>
    <row r="2" customFormat="false" ht="15" hidden="false" customHeight="true" outlineLevel="0" collapsed="false">
      <c r="B2" s="3" t="s">
        <v>50</v>
      </c>
    </row>
    <row r="4" customFormat="false" ht="15" hidden="false" customHeight="true" outlineLevel="0" collapsed="false">
      <c r="B4" s="6" t="s">
        <v>51</v>
      </c>
      <c r="C4" s="6"/>
      <c r="D4" s="6"/>
      <c r="E4" s="6" t="s">
        <v>52</v>
      </c>
    </row>
    <row r="5" customFormat="false" ht="15" hidden="false" customHeight="true" outlineLevel="0" collapsed="false">
      <c r="B5" s="15" t="s">
        <v>53</v>
      </c>
      <c r="C5" s="16" t="n">
        <v>40</v>
      </c>
      <c r="E5" s="3" t="s">
        <v>54</v>
      </c>
    </row>
    <row r="7" customFormat="false" ht="15" hidden="false" customHeight="true" outlineLevel="0" collapsed="false">
      <c r="B7" s="6" t="s">
        <v>55</v>
      </c>
      <c r="C7" s="6"/>
      <c r="D7" s="6"/>
      <c r="E7" s="6" t="s">
        <v>52</v>
      </c>
    </row>
    <row r="8" customFormat="false" ht="15" hidden="false" customHeight="true" outlineLevel="0" collapsed="false">
      <c r="B8" s="15" t="s">
        <v>56</v>
      </c>
      <c r="C8" s="17" t="n">
        <v>350</v>
      </c>
      <c r="E8" s="3" t="s">
        <v>57</v>
      </c>
    </row>
    <row r="9" customFormat="false" ht="15" hidden="false" customHeight="true" outlineLevel="0" collapsed="false">
      <c r="B9" s="15" t="s">
        <v>58</v>
      </c>
      <c r="C9" s="17" t="n">
        <v>180</v>
      </c>
      <c r="E9" s="3" t="s">
        <v>59</v>
      </c>
    </row>
    <row r="10" customFormat="false" ht="15" hidden="false" customHeight="true" outlineLevel="0" collapsed="false">
      <c r="B10" s="15" t="s">
        <v>60</v>
      </c>
      <c r="C10" s="18" t="n">
        <v>0.6</v>
      </c>
      <c r="E10" s="3" t="s">
        <v>61</v>
      </c>
    </row>
    <row r="11" customFormat="false" ht="15" hidden="false" customHeight="true" outlineLevel="0" collapsed="false">
      <c r="B11" s="15" t="s">
        <v>62</v>
      </c>
      <c r="C11" s="19" t="n">
        <v>0</v>
      </c>
      <c r="E11" s="3" t="s">
        <v>63</v>
      </c>
    </row>
    <row r="13" customFormat="false" ht="15" hidden="false" customHeight="true" outlineLevel="0" collapsed="false">
      <c r="B13" s="6" t="s">
        <v>64</v>
      </c>
      <c r="C13" s="6"/>
      <c r="D13" s="6"/>
      <c r="E13" s="6" t="s">
        <v>52</v>
      </c>
    </row>
    <row r="14" customFormat="false" ht="15" hidden="false" customHeight="true" outlineLevel="0" collapsed="false">
      <c r="B14" s="15" t="s">
        <v>65</v>
      </c>
      <c r="C14" s="20" t="n">
        <v>0.035</v>
      </c>
      <c r="E14" s="3" t="s">
        <v>66</v>
      </c>
    </row>
    <row r="15" customFormat="false" ht="15" hidden="false" customHeight="true" outlineLevel="0" collapsed="false">
      <c r="B15" s="15" t="s">
        <v>67</v>
      </c>
      <c r="C15" s="17" t="n">
        <v>5</v>
      </c>
      <c r="E15" s="3" t="s">
        <v>68</v>
      </c>
    </row>
    <row r="16" customFormat="false" ht="15" hidden="false" customHeight="true" outlineLevel="0" collapsed="false">
      <c r="B16" s="15" t="s">
        <v>69</v>
      </c>
      <c r="C16" s="21" t="n">
        <v>0.035</v>
      </c>
      <c r="E16" s="3" t="s">
        <v>70</v>
      </c>
    </row>
    <row r="18" customFormat="false" ht="15" hidden="false" customHeight="true" outlineLevel="0" collapsed="false">
      <c r="B18" s="6" t="s">
        <v>71</v>
      </c>
      <c r="C18" s="6"/>
      <c r="D18" s="6"/>
      <c r="E18" s="6" t="s">
        <v>52</v>
      </c>
    </row>
    <row r="19" customFormat="false" ht="15" hidden="false" customHeight="true" outlineLevel="0" collapsed="false">
      <c r="B19" s="15" t="s">
        <v>72</v>
      </c>
      <c r="C19" s="22" t="n">
        <v>2</v>
      </c>
      <c r="E19" s="3" t="s">
        <v>73</v>
      </c>
    </row>
    <row r="20" customFormat="false" ht="15" hidden="false" customHeight="true" outlineLevel="0" collapsed="false">
      <c r="B20" s="15" t="s">
        <v>74</v>
      </c>
      <c r="C20" s="22" t="n">
        <v>3</v>
      </c>
      <c r="E20" s="3" t="s">
        <v>75</v>
      </c>
    </row>
    <row r="22" customFormat="false" ht="15" hidden="false" customHeight="true" outlineLevel="0" collapsed="false">
      <c r="B22" s="6" t="s">
        <v>76</v>
      </c>
      <c r="C22" s="6"/>
      <c r="D22" s="6"/>
      <c r="E22" s="6" t="s">
        <v>52</v>
      </c>
    </row>
    <row r="23" customFormat="false" ht="15" hidden="false" customHeight="true" outlineLevel="0" collapsed="false">
      <c r="B23" s="4" t="s">
        <v>77</v>
      </c>
      <c r="C23" s="4" t="s">
        <v>78</v>
      </c>
      <c r="D23" s="4" t="s">
        <v>79</v>
      </c>
      <c r="E23" s="4" t="s">
        <v>80</v>
      </c>
    </row>
    <row r="24" customFormat="false" ht="15" hidden="false" customHeight="true" outlineLevel="0" collapsed="false">
      <c r="B24" s="5" t="s">
        <v>81</v>
      </c>
      <c r="C24" s="23" t="n">
        <v>0</v>
      </c>
      <c r="D24" s="18" t="n">
        <v>0.12</v>
      </c>
      <c r="E24" s="3" t="s">
        <v>82</v>
      </c>
    </row>
    <row r="25" customFormat="false" ht="15" hidden="false" customHeight="true" outlineLevel="0" collapsed="false">
      <c r="B25" s="5" t="s">
        <v>83</v>
      </c>
      <c r="C25" s="23" t="n">
        <v>70</v>
      </c>
      <c r="D25" s="18" t="n">
        <v>0.02</v>
      </c>
      <c r="E25" s="3" t="s">
        <v>84</v>
      </c>
    </row>
    <row r="26" customFormat="false" ht="15" hidden="false" customHeight="true" outlineLevel="0" collapsed="false">
      <c r="B26" s="5" t="s">
        <v>85</v>
      </c>
      <c r="C26" s="23" t="n">
        <v>150</v>
      </c>
      <c r="D26" s="18" t="n">
        <v>0</v>
      </c>
      <c r="E26" s="3" t="s">
        <v>86</v>
      </c>
    </row>
    <row r="28" customFormat="false" ht="15" hidden="false" customHeight="true" outlineLevel="0" collapsed="false">
      <c r="B28" s="6" t="s">
        <v>87</v>
      </c>
      <c r="C28" s="6"/>
      <c r="D28" s="6"/>
      <c r="E28" s="6" t="s">
        <v>52</v>
      </c>
    </row>
    <row r="29" customFormat="false" ht="15" hidden="false" customHeight="true" outlineLevel="0" collapsed="false">
      <c r="B29" s="15" t="s">
        <v>88</v>
      </c>
      <c r="C29" s="18" t="n">
        <v>0.7</v>
      </c>
      <c r="E29" s="3" t="s">
        <v>89</v>
      </c>
    </row>
    <row r="30" customFormat="false" ht="15" hidden="false" customHeight="true" outlineLevel="0" collapsed="false">
      <c r="B30" s="15" t="s">
        <v>90</v>
      </c>
      <c r="C30" s="24" t="n">
        <v>0.28</v>
      </c>
      <c r="E30" s="3" t="s">
        <v>91</v>
      </c>
    </row>
    <row r="31" customFormat="false" ht="15" hidden="false" customHeight="true" outlineLevel="0" collapsed="false">
      <c r="B31" s="15" t="s">
        <v>92</v>
      </c>
      <c r="C31" s="24" t="n">
        <v>0.02</v>
      </c>
      <c r="E31" s="3" t="s">
        <v>91</v>
      </c>
    </row>
    <row r="32" customFormat="false" ht="15" hidden="false" customHeight="true" outlineLevel="0" collapsed="false">
      <c r="B32" s="4" t="s">
        <v>93</v>
      </c>
      <c r="C32" s="25" t="n">
        <f aca="false">C29+C30+C31</f>
        <v>1</v>
      </c>
      <c r="E32" s="3" t="s">
        <v>94</v>
      </c>
    </row>
    <row r="34" customFormat="false" ht="15" hidden="false" customHeight="true" outlineLevel="0" collapsed="false">
      <c r="B34" s="6" t="s">
        <v>95</v>
      </c>
      <c r="C34" s="6"/>
      <c r="D34" s="6"/>
      <c r="E34" s="6" t="s">
        <v>52</v>
      </c>
    </row>
    <row r="35" customFormat="false" ht="15" hidden="false" customHeight="true" outlineLevel="0" collapsed="false">
      <c r="B35" s="15" t="s">
        <v>96</v>
      </c>
      <c r="C35" s="19" t="n">
        <v>10</v>
      </c>
      <c r="E35" s="3" t="s">
        <v>97</v>
      </c>
    </row>
    <row r="36" customFormat="false" ht="15" hidden="false" customHeight="true" outlineLevel="0" collapsed="false">
      <c r="B36" s="15" t="s">
        <v>98</v>
      </c>
      <c r="C36" s="18" t="n">
        <v>0.25</v>
      </c>
      <c r="E36" s="3" t="s">
        <v>99</v>
      </c>
    </row>
    <row r="37" customFormat="false" ht="15" hidden="false" customHeight="true" outlineLevel="0" collapsed="false">
      <c r="B37" s="15" t="s">
        <v>100</v>
      </c>
      <c r="C37" s="26" t="n">
        <v>400</v>
      </c>
      <c r="E37" s="3" t="s">
        <v>101</v>
      </c>
    </row>
    <row r="38" customFormat="false" ht="15" hidden="false" customHeight="true" outlineLevel="0" collapsed="false">
      <c r="B38" s="15" t="s">
        <v>102</v>
      </c>
      <c r="C38" s="23" t="n">
        <v>6000</v>
      </c>
      <c r="E38" s="3" t="s">
        <v>103</v>
      </c>
    </row>
    <row r="39" customFormat="false" ht="15" hidden="false" customHeight="true" outlineLevel="0" collapsed="false">
      <c r="B39" s="15" t="s">
        <v>104</v>
      </c>
      <c r="C39" s="26" t="n">
        <v>800</v>
      </c>
      <c r="E39" s="3" t="s">
        <v>105</v>
      </c>
    </row>
    <row r="40" customFormat="false" ht="15" hidden="false" customHeight="true" outlineLevel="0" collapsed="false">
      <c r="B40" s="15" t="s">
        <v>106</v>
      </c>
      <c r="C40" s="26" t="n">
        <v>2000</v>
      </c>
      <c r="E40" s="3" t="s">
        <v>107</v>
      </c>
    </row>
    <row r="41" customFormat="false" ht="15" hidden="false" customHeight="true" outlineLevel="0" collapsed="false">
      <c r="B41" s="4" t="s">
        <v>108</v>
      </c>
      <c r="C41" s="27" t="n">
        <f aca="false">SUM(C37:C40)</f>
        <v>9200</v>
      </c>
    </row>
    <row r="42" customFormat="false" ht="15" hidden="false" customHeight="true" outlineLevel="0" collapsed="false">
      <c r="B42" s="4" t="s">
        <v>109</v>
      </c>
      <c r="C42" s="28" t="n">
        <f aca="false">C41*C5</f>
        <v>368000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8" min="3" style="1" width="16"/>
    <col collapsed="false" customWidth="true" hidden="false" outlineLevel="0" max="9" min="9" style="1" width="60"/>
  </cols>
  <sheetData>
    <row r="1" customFormat="false" ht="17.25" hidden="false" customHeight="true" outlineLevel="0" collapsed="false">
      <c r="B1" s="2" t="s">
        <v>110</v>
      </c>
    </row>
    <row r="2" customFormat="false" ht="15" hidden="false" customHeight="true" outlineLevel="0" collapsed="false">
      <c r="B2" s="3" t="s">
        <v>111</v>
      </c>
    </row>
    <row r="4" customFormat="false" ht="15" hidden="false" customHeight="true" outlineLevel="0" collapsed="false">
      <c r="B4" s="6" t="s">
        <v>112</v>
      </c>
      <c r="C4" s="6"/>
      <c r="D4" s="6"/>
      <c r="E4" s="6" t="s">
        <v>52</v>
      </c>
    </row>
    <row r="5" customFormat="false" ht="23.25" hidden="false" customHeight="true" outlineLevel="0" collapsed="false">
      <c r="B5" s="29" t="s">
        <v>113</v>
      </c>
      <c r="C5" s="30" t="s">
        <v>114</v>
      </c>
      <c r="D5" s="30" t="s">
        <v>115</v>
      </c>
      <c r="E5" s="30" t="s">
        <v>116</v>
      </c>
    </row>
    <row r="6" customFormat="false" ht="15" hidden="false" customHeight="true" outlineLevel="0" collapsed="false">
      <c r="B6" s="5" t="s">
        <v>117</v>
      </c>
      <c r="C6" s="28" t="n">
        <f aca="false">IFERROR(Supuestos!C25*Supuestos!C5/(Supuestos!D24-Supuestos!D25),"n/a")</f>
        <v>28000</v>
      </c>
      <c r="D6" s="28" t="n">
        <f aca="false">IFERROR(C6/Supuestos!C8,"n/a")</f>
        <v>80</v>
      </c>
      <c r="E6" s="27" t="n">
        <f aca="false">IFERROR(C6/Supuestos!C5,"n/a")</f>
        <v>700</v>
      </c>
    </row>
    <row r="7" customFormat="false" ht="15" hidden="false" customHeight="true" outlineLevel="0" collapsed="false">
      <c r="B7" s="5" t="s">
        <v>118</v>
      </c>
      <c r="C7" s="28" t="n">
        <f aca="false">IFERROR((Supuestos!C26-Supuestos!C25)*Supuestos!C5/(Supuestos!D25-Supuestos!D26),"n/a")</f>
        <v>160000</v>
      </c>
      <c r="D7" s="28" t="n">
        <f aca="false">IFERROR(C7/Supuestos!C8,"n/a")</f>
        <v>457.142857142857</v>
      </c>
      <c r="E7" s="27" t="n">
        <f aca="false">IFERROR(C7/Supuestos!C5,"n/a")</f>
        <v>4000</v>
      </c>
    </row>
    <row r="8" customFormat="false" ht="15" hidden="false" customHeight="true" outlineLevel="0" collapsed="false">
      <c r="B8" s="5" t="s">
        <v>119</v>
      </c>
      <c r="C8" s="28" t="n">
        <f aca="false">IFERROR(Supuestos!C26*Supuestos!C5/(Supuestos!D24-Supuestos!D26),"n/a")</f>
        <v>50000</v>
      </c>
      <c r="D8" s="28" t="n">
        <f aca="false">IFERROR(C8/Supuestos!C8,"n/a")</f>
        <v>142.857142857143</v>
      </c>
      <c r="E8" s="27" t="n">
        <f aca="false">IFERROR(C8/Supuestos!C5,"n/a")</f>
        <v>1250</v>
      </c>
    </row>
    <row r="9" customFormat="false" ht="15" hidden="false" customHeight="true" outlineLevel="0" collapsed="false">
      <c r="B9" s="4" t="s">
        <v>120</v>
      </c>
      <c r="C9" s="31" t="n">
        <f aca="false">Supuestos!C8*Supuestos!C9</f>
        <v>63000</v>
      </c>
      <c r="D9" s="31" t="n">
        <f aca="false">Supuestos!C9</f>
        <v>180</v>
      </c>
      <c r="E9" s="32" t="n">
        <f aca="false">C9/Supuestos!C5</f>
        <v>1575</v>
      </c>
    </row>
    <row r="10" customFormat="false" ht="15" hidden="false" customHeight="true" outlineLevel="0" collapsed="false">
      <c r="I10" s="3" t="s">
        <v>121</v>
      </c>
    </row>
    <row r="12" customFormat="false" ht="15" hidden="false" customHeight="true" outlineLevel="0" collapsed="false">
      <c r="B12" s="6" t="s">
        <v>122</v>
      </c>
      <c r="C12" s="6"/>
      <c r="D12" s="6"/>
      <c r="E12" s="6" t="s">
        <v>52</v>
      </c>
    </row>
    <row r="13" customFormat="false" ht="23.25" hidden="false" customHeight="true" outlineLevel="0" collapsed="false">
      <c r="B13" s="30" t="s">
        <v>114</v>
      </c>
      <c r="C13" s="30" t="s">
        <v>123</v>
      </c>
      <c r="D13" s="30" t="s">
        <v>124</v>
      </c>
      <c r="E13" s="30" t="s">
        <v>125</v>
      </c>
      <c r="F13" s="30" t="s">
        <v>126</v>
      </c>
      <c r="G13" s="30" t="s">
        <v>127</v>
      </c>
      <c r="H13" s="30" t="s">
        <v>128</v>
      </c>
    </row>
    <row r="14" customFormat="false" ht="15" hidden="false" customHeight="true" outlineLevel="0" collapsed="false">
      <c r="B14" s="19" t="n">
        <v>10000</v>
      </c>
      <c r="C14" s="28" t="n">
        <f aca="false">B14/Supuestos!C8</f>
        <v>28.5714285714286</v>
      </c>
      <c r="D14" s="28" t="n">
        <f aca="false">B14*(1-Supuestos!$D$24)-Supuestos!$C$24*Supuestos!$C$5</f>
        <v>8800</v>
      </c>
      <c r="E14" s="28" t="n">
        <f aca="false">B14*(1-Supuestos!$D$25)-Supuestos!$C$25*Supuestos!$C$5</f>
        <v>7000</v>
      </c>
      <c r="F14" s="28" t="n">
        <f aca="false">B14*(1-Supuestos!$D$26)-Supuestos!$C$26*Supuestos!$C$5</f>
        <v>4000</v>
      </c>
      <c r="G14" s="5" t="str">
        <f aca="false">IF(D14&gt;=MAX(D14:F14),"Free",IF(E14&gt;=MAX(D14:F14),"Pro","Plus"))</f>
        <v>Free</v>
      </c>
      <c r="H14" s="28" t="n">
        <f aca="false">MAX(D14:F14)-D14</f>
        <v>0</v>
      </c>
    </row>
    <row r="15" customFormat="false" ht="15" hidden="false" customHeight="true" outlineLevel="0" collapsed="false">
      <c r="B15" s="19" t="n">
        <v>15000</v>
      </c>
      <c r="C15" s="28" t="n">
        <f aca="false">B15/Supuestos!C8</f>
        <v>42.8571428571429</v>
      </c>
      <c r="D15" s="28" t="n">
        <f aca="false">B15*(1-Supuestos!$D$24)-Supuestos!$C$24*Supuestos!$C$5</f>
        <v>13200</v>
      </c>
      <c r="E15" s="28" t="n">
        <f aca="false">B15*(1-Supuestos!$D$25)-Supuestos!$C$25*Supuestos!$C$5</f>
        <v>11900</v>
      </c>
      <c r="F15" s="28" t="n">
        <f aca="false">B15*(1-Supuestos!$D$26)-Supuestos!$C$26*Supuestos!$C$5</f>
        <v>9000</v>
      </c>
      <c r="G15" s="5" t="str">
        <f aca="false">IF(D15&gt;=MAX(D15:F15),"Free",IF(E15&gt;=MAX(D15:F15),"Pro","Plus"))</f>
        <v>Free</v>
      </c>
      <c r="H15" s="28" t="n">
        <f aca="false">MAX(D15:F15)-D15</f>
        <v>0</v>
      </c>
    </row>
    <row r="16" customFormat="false" ht="15" hidden="false" customHeight="true" outlineLevel="0" collapsed="false">
      <c r="B16" s="19" t="n">
        <v>20000</v>
      </c>
      <c r="C16" s="28" t="n">
        <f aca="false">B16/Supuestos!C8</f>
        <v>57.1428571428571</v>
      </c>
      <c r="D16" s="28" t="n">
        <f aca="false">B16*(1-Supuestos!$D$24)-Supuestos!$C$24*Supuestos!$C$5</f>
        <v>17600</v>
      </c>
      <c r="E16" s="28" t="n">
        <f aca="false">B16*(1-Supuestos!$D$25)-Supuestos!$C$25*Supuestos!$C$5</f>
        <v>16800</v>
      </c>
      <c r="F16" s="28" t="n">
        <f aca="false">B16*(1-Supuestos!$D$26)-Supuestos!$C$26*Supuestos!$C$5</f>
        <v>14000</v>
      </c>
      <c r="G16" s="5" t="str">
        <f aca="false">IF(D16&gt;=MAX(D16:F16),"Free",IF(E16&gt;=MAX(D16:F16),"Pro","Plus"))</f>
        <v>Free</v>
      </c>
      <c r="H16" s="28" t="n">
        <f aca="false">MAX(D16:F16)-D16</f>
        <v>0</v>
      </c>
    </row>
    <row r="17" customFormat="false" ht="15" hidden="false" customHeight="true" outlineLevel="0" collapsed="false">
      <c r="B17" s="19" t="n">
        <v>25000</v>
      </c>
      <c r="C17" s="28" t="n">
        <f aca="false">B17/Supuestos!C8</f>
        <v>71.4285714285714</v>
      </c>
      <c r="D17" s="28" t="n">
        <f aca="false">B17*(1-Supuestos!$D$24)-Supuestos!$C$24*Supuestos!$C$5</f>
        <v>22000</v>
      </c>
      <c r="E17" s="28" t="n">
        <f aca="false">B17*(1-Supuestos!$D$25)-Supuestos!$C$25*Supuestos!$C$5</f>
        <v>21700</v>
      </c>
      <c r="F17" s="28" t="n">
        <f aca="false">B17*(1-Supuestos!$D$26)-Supuestos!$C$26*Supuestos!$C$5</f>
        <v>19000</v>
      </c>
      <c r="G17" s="5" t="str">
        <f aca="false">IF(D17&gt;=MAX(D17:F17),"Free",IF(E17&gt;=MAX(D17:F17),"Pro","Plus"))</f>
        <v>Free</v>
      </c>
      <c r="H17" s="28" t="n">
        <f aca="false">MAX(D17:F17)-D17</f>
        <v>0</v>
      </c>
    </row>
    <row r="18" customFormat="false" ht="15" hidden="false" customHeight="true" outlineLevel="0" collapsed="false">
      <c r="B18" s="19" t="n">
        <v>30000</v>
      </c>
      <c r="C18" s="28" t="n">
        <f aca="false">B18/Supuestos!C8</f>
        <v>85.7142857142857</v>
      </c>
      <c r="D18" s="28" t="n">
        <f aca="false">B18*(1-Supuestos!$D$24)-Supuestos!$C$24*Supuestos!$C$5</f>
        <v>26400</v>
      </c>
      <c r="E18" s="28" t="n">
        <f aca="false">B18*(1-Supuestos!$D$25)-Supuestos!$C$25*Supuestos!$C$5</f>
        <v>26600</v>
      </c>
      <c r="F18" s="28" t="n">
        <f aca="false">B18*(1-Supuestos!$D$26)-Supuestos!$C$26*Supuestos!$C$5</f>
        <v>24000</v>
      </c>
      <c r="G18" s="5" t="str">
        <f aca="false">IF(D18&gt;=MAX(D18:F18),"Free",IF(E18&gt;=MAX(D18:F18),"Pro","Plus"))</f>
        <v>Pro</v>
      </c>
      <c r="H18" s="28" t="n">
        <f aca="false">MAX(D18:F18)-D18</f>
        <v>200</v>
      </c>
    </row>
    <row r="19" customFormat="false" ht="15" hidden="false" customHeight="true" outlineLevel="0" collapsed="false">
      <c r="B19" s="19" t="n">
        <v>35000</v>
      </c>
      <c r="C19" s="28" t="n">
        <f aca="false">B19/Supuestos!C8</f>
        <v>100</v>
      </c>
      <c r="D19" s="28" t="n">
        <f aca="false">B19*(1-Supuestos!$D$24)-Supuestos!$C$24*Supuestos!$C$5</f>
        <v>30800</v>
      </c>
      <c r="E19" s="28" t="n">
        <f aca="false">B19*(1-Supuestos!$D$25)-Supuestos!$C$25*Supuestos!$C$5</f>
        <v>31500</v>
      </c>
      <c r="F19" s="28" t="n">
        <f aca="false">B19*(1-Supuestos!$D$26)-Supuestos!$C$26*Supuestos!$C$5</f>
        <v>29000</v>
      </c>
      <c r="G19" s="5" t="str">
        <f aca="false">IF(D19&gt;=MAX(D19:F19),"Free",IF(E19&gt;=MAX(D19:F19),"Pro","Plus"))</f>
        <v>Pro</v>
      </c>
      <c r="H19" s="28" t="n">
        <f aca="false">MAX(D19:F19)-D19</f>
        <v>700</v>
      </c>
    </row>
    <row r="20" customFormat="false" ht="15" hidden="false" customHeight="true" outlineLevel="0" collapsed="false">
      <c r="B20" s="19" t="n">
        <v>40000</v>
      </c>
      <c r="C20" s="28" t="n">
        <f aca="false">B20/Supuestos!C8</f>
        <v>114.285714285714</v>
      </c>
      <c r="D20" s="28" t="n">
        <f aca="false">B20*(1-Supuestos!$D$24)-Supuestos!$C$24*Supuestos!$C$5</f>
        <v>35200</v>
      </c>
      <c r="E20" s="28" t="n">
        <f aca="false">B20*(1-Supuestos!$D$25)-Supuestos!$C$25*Supuestos!$C$5</f>
        <v>36400</v>
      </c>
      <c r="F20" s="28" t="n">
        <f aca="false">B20*(1-Supuestos!$D$26)-Supuestos!$C$26*Supuestos!$C$5</f>
        <v>34000</v>
      </c>
      <c r="G20" s="5" t="str">
        <f aca="false">IF(D20&gt;=MAX(D20:F20),"Free",IF(E20&gt;=MAX(D20:F20),"Pro","Plus"))</f>
        <v>Pro</v>
      </c>
      <c r="H20" s="28" t="n">
        <f aca="false">MAX(D20:F20)-D20</f>
        <v>1200</v>
      </c>
    </row>
    <row r="21" customFormat="false" ht="15" hidden="false" customHeight="true" outlineLevel="0" collapsed="false">
      <c r="B21" s="19" t="n">
        <v>45000</v>
      </c>
      <c r="C21" s="28" t="n">
        <f aca="false">B21/Supuestos!C8</f>
        <v>128.571428571429</v>
      </c>
      <c r="D21" s="28" t="n">
        <f aca="false">B21*(1-Supuestos!$D$24)-Supuestos!$C$24*Supuestos!$C$5</f>
        <v>39600</v>
      </c>
      <c r="E21" s="28" t="n">
        <f aca="false">B21*(1-Supuestos!$D$25)-Supuestos!$C$25*Supuestos!$C$5</f>
        <v>41300</v>
      </c>
      <c r="F21" s="28" t="n">
        <f aca="false">B21*(1-Supuestos!$D$26)-Supuestos!$C$26*Supuestos!$C$5</f>
        <v>39000</v>
      </c>
      <c r="G21" s="5" t="str">
        <f aca="false">IF(D21&gt;=MAX(D21:F21),"Free",IF(E21&gt;=MAX(D21:F21),"Pro","Plus"))</f>
        <v>Pro</v>
      </c>
      <c r="H21" s="28" t="n">
        <f aca="false">MAX(D21:F21)-D21</f>
        <v>1700</v>
      </c>
    </row>
    <row r="22" customFormat="false" ht="15" hidden="false" customHeight="true" outlineLevel="0" collapsed="false">
      <c r="B22" s="19" t="n">
        <v>50000</v>
      </c>
      <c r="C22" s="28" t="n">
        <f aca="false">B22/Supuestos!C8</f>
        <v>142.857142857143</v>
      </c>
      <c r="D22" s="28" t="n">
        <f aca="false">B22*(1-Supuestos!$D$24)-Supuestos!$C$24*Supuestos!$C$5</f>
        <v>44000</v>
      </c>
      <c r="E22" s="28" t="n">
        <f aca="false">B22*(1-Supuestos!$D$25)-Supuestos!$C$25*Supuestos!$C$5</f>
        <v>46200</v>
      </c>
      <c r="F22" s="28" t="n">
        <f aca="false">B22*(1-Supuestos!$D$26)-Supuestos!$C$26*Supuestos!$C$5</f>
        <v>44000</v>
      </c>
      <c r="G22" s="5" t="str">
        <f aca="false">IF(D22&gt;=MAX(D22:F22),"Free",IF(E22&gt;=MAX(D22:F22),"Pro","Plus"))</f>
        <v>Pro</v>
      </c>
      <c r="H22" s="28" t="n">
        <f aca="false">MAX(D22:F22)-D22</f>
        <v>2200</v>
      </c>
    </row>
    <row r="23" customFormat="false" ht="15" hidden="false" customHeight="true" outlineLevel="0" collapsed="false">
      <c r="B23" s="19" t="n">
        <v>55000</v>
      </c>
      <c r="C23" s="28" t="n">
        <f aca="false">B23/Supuestos!C8</f>
        <v>157.142857142857</v>
      </c>
      <c r="D23" s="28" t="n">
        <f aca="false">B23*(1-Supuestos!$D$24)-Supuestos!$C$24*Supuestos!$C$5</f>
        <v>48400</v>
      </c>
      <c r="E23" s="28" t="n">
        <f aca="false">B23*(1-Supuestos!$D$25)-Supuestos!$C$25*Supuestos!$C$5</f>
        <v>51100</v>
      </c>
      <c r="F23" s="28" t="n">
        <f aca="false">B23*(1-Supuestos!$D$26)-Supuestos!$C$26*Supuestos!$C$5</f>
        <v>49000</v>
      </c>
      <c r="G23" s="5" t="str">
        <f aca="false">IF(D23&gt;=MAX(D23:F23),"Free",IF(E23&gt;=MAX(D23:F23),"Pro","Plus"))</f>
        <v>Pro</v>
      </c>
      <c r="H23" s="28" t="n">
        <f aca="false">MAX(D23:F23)-D23</f>
        <v>2700</v>
      </c>
    </row>
    <row r="24" customFormat="false" ht="15" hidden="false" customHeight="true" outlineLevel="0" collapsed="false">
      <c r="B24" s="19" t="n">
        <v>60000</v>
      </c>
      <c r="C24" s="28" t="n">
        <f aca="false">B24/Supuestos!C8</f>
        <v>171.428571428571</v>
      </c>
      <c r="D24" s="28" t="n">
        <f aca="false">B24*(1-Supuestos!$D$24)-Supuestos!$C$24*Supuestos!$C$5</f>
        <v>52800</v>
      </c>
      <c r="E24" s="28" t="n">
        <f aca="false">B24*(1-Supuestos!$D$25)-Supuestos!$C$25*Supuestos!$C$5</f>
        <v>56000</v>
      </c>
      <c r="F24" s="28" t="n">
        <f aca="false">B24*(1-Supuestos!$D$26)-Supuestos!$C$26*Supuestos!$C$5</f>
        <v>54000</v>
      </c>
      <c r="G24" s="5" t="str">
        <f aca="false">IF(D24&gt;=MAX(D24:F24),"Free",IF(E24&gt;=MAX(D24:F24),"Pro","Plus"))</f>
        <v>Pro</v>
      </c>
      <c r="H24" s="28" t="n">
        <f aca="false">MAX(D24:F24)-D24</f>
        <v>3200</v>
      </c>
    </row>
    <row r="25" customFormat="false" ht="15" hidden="false" customHeight="true" outlineLevel="0" collapsed="false">
      <c r="B25" s="19" t="n">
        <v>65000</v>
      </c>
      <c r="C25" s="28" t="n">
        <f aca="false">B25/Supuestos!C8</f>
        <v>185.714285714286</v>
      </c>
      <c r="D25" s="28" t="n">
        <f aca="false">B25*(1-Supuestos!$D$24)-Supuestos!$C$24*Supuestos!$C$5</f>
        <v>57200</v>
      </c>
      <c r="E25" s="28" t="n">
        <f aca="false">B25*(1-Supuestos!$D$25)-Supuestos!$C$25*Supuestos!$C$5</f>
        <v>60900</v>
      </c>
      <c r="F25" s="28" t="n">
        <f aca="false">B25*(1-Supuestos!$D$26)-Supuestos!$C$26*Supuestos!$C$5</f>
        <v>59000</v>
      </c>
      <c r="G25" s="5" t="str">
        <f aca="false">IF(D25&gt;=MAX(D25:F25),"Free",IF(E25&gt;=MAX(D25:F25),"Pro","Plus"))</f>
        <v>Pro</v>
      </c>
      <c r="H25" s="28" t="n">
        <f aca="false">MAX(D25:F25)-D25</f>
        <v>3700</v>
      </c>
    </row>
    <row r="26" customFormat="false" ht="15" hidden="false" customHeight="true" outlineLevel="0" collapsed="false">
      <c r="B26" s="19" t="n">
        <v>70000</v>
      </c>
      <c r="C26" s="28" t="n">
        <f aca="false">B26/Supuestos!C8</f>
        <v>200</v>
      </c>
      <c r="D26" s="28" t="n">
        <f aca="false">B26*(1-Supuestos!$D$24)-Supuestos!$C$24*Supuestos!$C$5</f>
        <v>61600</v>
      </c>
      <c r="E26" s="28" t="n">
        <f aca="false">B26*(1-Supuestos!$D$25)-Supuestos!$C$25*Supuestos!$C$5</f>
        <v>65800</v>
      </c>
      <c r="F26" s="28" t="n">
        <f aca="false">B26*(1-Supuestos!$D$26)-Supuestos!$C$26*Supuestos!$C$5</f>
        <v>64000</v>
      </c>
      <c r="G26" s="5" t="str">
        <f aca="false">IF(D26&gt;=MAX(D26:F26),"Free",IF(E26&gt;=MAX(D26:F26),"Pro","Plus"))</f>
        <v>Pro</v>
      </c>
      <c r="H26" s="28" t="n">
        <f aca="false">MAX(D26:F26)-D26</f>
        <v>4200</v>
      </c>
    </row>
    <row r="27" customFormat="false" ht="15" hidden="false" customHeight="true" outlineLevel="0" collapsed="false">
      <c r="B27" s="19" t="n">
        <v>75000</v>
      </c>
      <c r="C27" s="28" t="n">
        <f aca="false">B27/Supuestos!C8</f>
        <v>214.285714285714</v>
      </c>
      <c r="D27" s="28" t="n">
        <f aca="false">B27*(1-Supuestos!$D$24)-Supuestos!$C$24*Supuestos!$C$5</f>
        <v>66000</v>
      </c>
      <c r="E27" s="28" t="n">
        <f aca="false">B27*(1-Supuestos!$D$25)-Supuestos!$C$25*Supuestos!$C$5</f>
        <v>70700</v>
      </c>
      <c r="F27" s="28" t="n">
        <f aca="false">B27*(1-Supuestos!$D$26)-Supuestos!$C$26*Supuestos!$C$5</f>
        <v>69000</v>
      </c>
      <c r="G27" s="5" t="str">
        <f aca="false">IF(D27&gt;=MAX(D27:F27),"Free",IF(E27&gt;=MAX(D27:F27),"Pro","Plus"))</f>
        <v>Pro</v>
      </c>
      <c r="H27" s="28" t="n">
        <f aca="false">MAX(D27:F27)-D27</f>
        <v>4700</v>
      </c>
    </row>
    <row r="28" customFormat="false" ht="15" hidden="false" customHeight="true" outlineLevel="0" collapsed="false">
      <c r="B28" s="19" t="n">
        <v>80000</v>
      </c>
      <c r="C28" s="28" t="n">
        <f aca="false">B28/Supuestos!C8</f>
        <v>228.571428571429</v>
      </c>
      <c r="D28" s="28" t="n">
        <f aca="false">B28*(1-Supuestos!$D$24)-Supuestos!$C$24*Supuestos!$C$5</f>
        <v>70400</v>
      </c>
      <c r="E28" s="28" t="n">
        <f aca="false">B28*(1-Supuestos!$D$25)-Supuestos!$C$25*Supuestos!$C$5</f>
        <v>75600</v>
      </c>
      <c r="F28" s="28" t="n">
        <f aca="false">B28*(1-Supuestos!$D$26)-Supuestos!$C$26*Supuestos!$C$5</f>
        <v>74000</v>
      </c>
      <c r="G28" s="5" t="str">
        <f aca="false">IF(D28&gt;=MAX(D28:F28),"Free",IF(E28&gt;=MAX(D28:F28),"Pro","Plus"))</f>
        <v>Pro</v>
      </c>
      <c r="H28" s="28" t="n">
        <f aca="false">MAX(D28:F28)-D28</f>
        <v>5200</v>
      </c>
    </row>
    <row r="29" customFormat="false" ht="15" hidden="false" customHeight="true" outlineLevel="0" collapsed="false">
      <c r="B29" s="19" t="n">
        <v>85000</v>
      </c>
      <c r="C29" s="28" t="n">
        <f aca="false">B29/Supuestos!C8</f>
        <v>242.857142857143</v>
      </c>
      <c r="D29" s="28" t="n">
        <f aca="false">B29*(1-Supuestos!$D$24)-Supuestos!$C$24*Supuestos!$C$5</f>
        <v>74800</v>
      </c>
      <c r="E29" s="28" t="n">
        <f aca="false">B29*(1-Supuestos!$D$25)-Supuestos!$C$25*Supuestos!$C$5</f>
        <v>80500</v>
      </c>
      <c r="F29" s="28" t="n">
        <f aca="false">B29*(1-Supuestos!$D$26)-Supuestos!$C$26*Supuestos!$C$5</f>
        <v>79000</v>
      </c>
      <c r="G29" s="5" t="str">
        <f aca="false">IF(D29&gt;=MAX(D29:F29),"Free",IF(E29&gt;=MAX(D29:F29),"Pro","Plus"))</f>
        <v>Pro</v>
      </c>
      <c r="H29" s="28" t="n">
        <f aca="false">MAX(D29:F29)-D29</f>
        <v>5700</v>
      </c>
    </row>
    <row r="30" customFormat="false" ht="15" hidden="false" customHeight="true" outlineLevel="0" collapsed="false">
      <c r="B30" s="19" t="n">
        <v>90000</v>
      </c>
      <c r="C30" s="28" t="n">
        <f aca="false">B30/Supuestos!C8</f>
        <v>257.142857142857</v>
      </c>
      <c r="D30" s="28" t="n">
        <f aca="false">B30*(1-Supuestos!$D$24)-Supuestos!$C$24*Supuestos!$C$5</f>
        <v>79200</v>
      </c>
      <c r="E30" s="28" t="n">
        <f aca="false">B30*(1-Supuestos!$D$25)-Supuestos!$C$25*Supuestos!$C$5</f>
        <v>85400</v>
      </c>
      <c r="F30" s="28" t="n">
        <f aca="false">B30*(1-Supuestos!$D$26)-Supuestos!$C$26*Supuestos!$C$5</f>
        <v>84000</v>
      </c>
      <c r="G30" s="5" t="str">
        <f aca="false">IF(D30&gt;=MAX(D30:F30),"Free",IF(E30&gt;=MAX(D30:F30),"Pro","Plus"))</f>
        <v>Pro</v>
      </c>
      <c r="H30" s="28" t="n">
        <f aca="false">MAX(D30:F30)-D30</f>
        <v>6200</v>
      </c>
    </row>
    <row r="31" customFormat="false" ht="15" hidden="false" customHeight="true" outlineLevel="0" collapsed="false">
      <c r="B31" s="19" t="n">
        <v>95000</v>
      </c>
      <c r="C31" s="28" t="n">
        <f aca="false">B31/Supuestos!C8</f>
        <v>271.428571428571</v>
      </c>
      <c r="D31" s="28" t="n">
        <f aca="false">B31*(1-Supuestos!$D$24)-Supuestos!$C$24*Supuestos!$C$5</f>
        <v>83600</v>
      </c>
      <c r="E31" s="28" t="n">
        <f aca="false">B31*(1-Supuestos!$D$25)-Supuestos!$C$25*Supuestos!$C$5</f>
        <v>90300</v>
      </c>
      <c r="F31" s="28" t="n">
        <f aca="false">B31*(1-Supuestos!$D$26)-Supuestos!$C$26*Supuestos!$C$5</f>
        <v>89000</v>
      </c>
      <c r="G31" s="5" t="str">
        <f aca="false">IF(D31&gt;=MAX(D31:F31),"Free",IF(E31&gt;=MAX(D31:F31),"Pro","Plus"))</f>
        <v>Pro</v>
      </c>
      <c r="H31" s="28" t="n">
        <f aca="false">MAX(D31:F31)-D31</f>
        <v>6700</v>
      </c>
    </row>
    <row r="32" customFormat="false" ht="15" hidden="false" customHeight="true" outlineLevel="0" collapsed="false">
      <c r="B32" s="19" t="n">
        <v>100000</v>
      </c>
      <c r="C32" s="28" t="n">
        <f aca="false">B32/Supuestos!C8</f>
        <v>285.714285714286</v>
      </c>
      <c r="D32" s="28" t="n">
        <f aca="false">B32*(1-Supuestos!$D$24)-Supuestos!$C$24*Supuestos!$C$5</f>
        <v>88000</v>
      </c>
      <c r="E32" s="28" t="n">
        <f aca="false">B32*(1-Supuestos!$D$25)-Supuestos!$C$25*Supuestos!$C$5</f>
        <v>95200</v>
      </c>
      <c r="F32" s="28" t="n">
        <f aca="false">B32*(1-Supuestos!$D$26)-Supuestos!$C$26*Supuestos!$C$5</f>
        <v>94000</v>
      </c>
      <c r="G32" s="5" t="str">
        <f aca="false">IF(D32&gt;=MAX(D32:F32),"Free",IF(E32&gt;=MAX(D32:F32),"Pro","Plus"))</f>
        <v>Pro</v>
      </c>
      <c r="H32" s="28" t="n">
        <f aca="false">MAX(D32:F32)-D32</f>
        <v>7200</v>
      </c>
    </row>
    <row r="33" customFormat="false" ht="15" hidden="false" customHeight="true" outlineLevel="0" collapsed="false">
      <c r="B33" s="19" t="n">
        <v>105000</v>
      </c>
      <c r="C33" s="28" t="n">
        <f aca="false">B33/Supuestos!C8</f>
        <v>300</v>
      </c>
      <c r="D33" s="28" t="n">
        <f aca="false">B33*(1-Supuestos!$D$24)-Supuestos!$C$24*Supuestos!$C$5</f>
        <v>92400</v>
      </c>
      <c r="E33" s="28" t="n">
        <f aca="false">B33*(1-Supuestos!$D$25)-Supuestos!$C$25*Supuestos!$C$5</f>
        <v>100100</v>
      </c>
      <c r="F33" s="28" t="n">
        <f aca="false">B33*(1-Supuestos!$D$26)-Supuestos!$C$26*Supuestos!$C$5</f>
        <v>99000</v>
      </c>
      <c r="G33" s="5" t="str">
        <f aca="false">IF(D33&gt;=MAX(D33:F33),"Free",IF(E33&gt;=MAX(D33:F33),"Pro","Plus"))</f>
        <v>Pro</v>
      </c>
      <c r="H33" s="28" t="n">
        <f aca="false">MAX(D33:F33)-D33</f>
        <v>7700</v>
      </c>
    </row>
    <row r="34" customFormat="false" ht="15" hidden="false" customHeight="true" outlineLevel="0" collapsed="false">
      <c r="B34" s="19" t="n">
        <v>110000</v>
      </c>
      <c r="C34" s="28" t="n">
        <f aca="false">B34/Supuestos!C8</f>
        <v>314.285714285714</v>
      </c>
      <c r="D34" s="28" t="n">
        <f aca="false">B34*(1-Supuestos!$D$24)-Supuestos!$C$24*Supuestos!$C$5</f>
        <v>96800</v>
      </c>
      <c r="E34" s="28" t="n">
        <f aca="false">B34*(1-Supuestos!$D$25)-Supuestos!$C$25*Supuestos!$C$5</f>
        <v>105000</v>
      </c>
      <c r="F34" s="28" t="n">
        <f aca="false">B34*(1-Supuestos!$D$26)-Supuestos!$C$26*Supuestos!$C$5</f>
        <v>104000</v>
      </c>
      <c r="G34" s="5" t="str">
        <f aca="false">IF(D34&gt;=MAX(D34:F34),"Free",IF(E34&gt;=MAX(D34:F34),"Pro","Plus"))</f>
        <v>Pro</v>
      </c>
      <c r="H34" s="28" t="n">
        <f aca="false">MAX(D34:F34)-D34</f>
        <v>8200</v>
      </c>
    </row>
    <row r="35" customFormat="false" ht="15" hidden="false" customHeight="true" outlineLevel="0" collapsed="false">
      <c r="B35" s="19" t="n">
        <v>115000</v>
      </c>
      <c r="C35" s="28" t="n">
        <f aca="false">B35/Supuestos!C8</f>
        <v>328.571428571429</v>
      </c>
      <c r="D35" s="28" t="n">
        <f aca="false">B35*(1-Supuestos!$D$24)-Supuestos!$C$24*Supuestos!$C$5</f>
        <v>101200</v>
      </c>
      <c r="E35" s="28" t="n">
        <f aca="false">B35*(1-Supuestos!$D$25)-Supuestos!$C$25*Supuestos!$C$5</f>
        <v>109900</v>
      </c>
      <c r="F35" s="28" t="n">
        <f aca="false">B35*(1-Supuestos!$D$26)-Supuestos!$C$26*Supuestos!$C$5</f>
        <v>109000</v>
      </c>
      <c r="G35" s="5" t="str">
        <f aca="false">IF(D35&gt;=MAX(D35:F35),"Free",IF(E35&gt;=MAX(D35:F35),"Pro","Plus"))</f>
        <v>Pro</v>
      </c>
      <c r="H35" s="28" t="n">
        <f aca="false">MAX(D35:F35)-D35</f>
        <v>8700</v>
      </c>
    </row>
    <row r="36" customFormat="false" ht="15" hidden="false" customHeight="true" outlineLevel="0" collapsed="false">
      <c r="B36" s="19" t="n">
        <v>120000</v>
      </c>
      <c r="C36" s="28" t="n">
        <f aca="false">B36/Supuestos!C8</f>
        <v>342.857142857143</v>
      </c>
      <c r="D36" s="28" t="n">
        <f aca="false">B36*(1-Supuestos!$D$24)-Supuestos!$C$24*Supuestos!$C$5</f>
        <v>105600</v>
      </c>
      <c r="E36" s="28" t="n">
        <f aca="false">B36*(1-Supuestos!$D$25)-Supuestos!$C$25*Supuestos!$C$5</f>
        <v>114800</v>
      </c>
      <c r="F36" s="28" t="n">
        <f aca="false">B36*(1-Supuestos!$D$26)-Supuestos!$C$26*Supuestos!$C$5</f>
        <v>114000</v>
      </c>
      <c r="G36" s="5" t="str">
        <f aca="false">IF(D36&gt;=MAX(D36:F36),"Free",IF(E36&gt;=MAX(D36:F36),"Pro","Plus"))</f>
        <v>Pro</v>
      </c>
      <c r="H36" s="28" t="n">
        <f aca="false">MAX(D36:F36)-D36</f>
        <v>9200</v>
      </c>
    </row>
    <row r="37" customFormat="false" ht="15" hidden="false" customHeight="true" outlineLevel="0" collapsed="false">
      <c r="B37" s="19" t="n">
        <v>125000</v>
      </c>
      <c r="C37" s="28" t="n">
        <f aca="false">B37/Supuestos!C8</f>
        <v>357.142857142857</v>
      </c>
      <c r="D37" s="28" t="n">
        <f aca="false">B37*(1-Supuestos!$D$24)-Supuestos!$C$24*Supuestos!$C$5</f>
        <v>110000</v>
      </c>
      <c r="E37" s="28" t="n">
        <f aca="false">B37*(1-Supuestos!$D$25)-Supuestos!$C$25*Supuestos!$C$5</f>
        <v>119700</v>
      </c>
      <c r="F37" s="28" t="n">
        <f aca="false">B37*(1-Supuestos!$D$26)-Supuestos!$C$26*Supuestos!$C$5</f>
        <v>119000</v>
      </c>
      <c r="G37" s="5" t="str">
        <f aca="false">IF(D37&gt;=MAX(D37:F37),"Free",IF(E37&gt;=MAX(D37:F37),"Pro","Plus"))</f>
        <v>Pro</v>
      </c>
      <c r="H37" s="28" t="n">
        <f aca="false">MAX(D37:F37)-D37</f>
        <v>9700</v>
      </c>
    </row>
    <row r="39" customFormat="false" ht="15" hidden="false" customHeight="true" outlineLevel="0" collapsed="false">
      <c r="B39" s="3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5" min="3" style="1" width="16"/>
    <col collapsed="false" customWidth="true" hidden="false" outlineLevel="0" max="6" min="6" style="1" width="62"/>
  </cols>
  <sheetData>
    <row r="1" customFormat="false" ht="17.25" hidden="false" customHeight="true" outlineLevel="0" collapsed="false">
      <c r="B1" s="2" t="s">
        <v>130</v>
      </c>
    </row>
    <row r="2" customFormat="false" ht="15" hidden="false" customHeight="true" outlineLevel="0" collapsed="false">
      <c r="B2" s="3" t="s">
        <v>131</v>
      </c>
    </row>
    <row r="4" customFormat="false" ht="15" hidden="false" customHeight="true" outlineLevel="0" collapsed="false">
      <c r="B4" s="6" t="s">
        <v>132</v>
      </c>
      <c r="C4" s="6"/>
      <c r="D4" s="6"/>
      <c r="E4" s="6" t="s">
        <v>52</v>
      </c>
    </row>
    <row r="5" customFormat="false" ht="15" hidden="false" customHeight="true" outlineLevel="0" collapsed="false">
      <c r="B5" s="4" t="s">
        <v>113</v>
      </c>
      <c r="C5" s="33" t="s">
        <v>81</v>
      </c>
      <c r="D5" s="33" t="s">
        <v>83</v>
      </c>
      <c r="E5" s="33" t="s">
        <v>85</v>
      </c>
      <c r="F5" s="4" t="s">
        <v>80</v>
      </c>
    </row>
    <row r="6" customFormat="false" ht="15" hidden="false" customHeight="true" outlineLevel="0" collapsed="false">
      <c r="B6" s="5" t="s">
        <v>133</v>
      </c>
      <c r="C6" s="28" t="n">
        <f aca="false">Supuestos!$C$9</f>
        <v>180</v>
      </c>
      <c r="D6" s="28" t="n">
        <f aca="false">Supuestos!$C$9</f>
        <v>180</v>
      </c>
      <c r="E6" s="28" t="n">
        <f aca="false">Supuestos!$C$9</f>
        <v>180</v>
      </c>
    </row>
    <row r="7" customFormat="false" ht="15" hidden="false" customHeight="true" outlineLevel="0" collapsed="false">
      <c r="B7" s="5" t="s">
        <v>134</v>
      </c>
      <c r="C7" s="28" t="n">
        <f aca="false">Supuestos!$C$9*Supuestos!$C$8</f>
        <v>63000</v>
      </c>
      <c r="D7" s="28" t="n">
        <f aca="false">Supuestos!$C$9*Supuestos!$C$8</f>
        <v>63000</v>
      </c>
      <c r="E7" s="28" t="n">
        <f aca="false">Supuestos!$C$9*Supuestos!$C$8</f>
        <v>63000</v>
      </c>
      <c r="F7" s="3" t="s">
        <v>135</v>
      </c>
    </row>
    <row r="8" customFormat="false" ht="15" hidden="false" customHeight="true" outlineLevel="0" collapsed="false">
      <c r="B8" s="4"/>
    </row>
    <row r="9" customFormat="false" ht="15" hidden="false" customHeight="true" outlineLevel="0" collapsed="false">
      <c r="B9" s="34" t="s">
        <v>136</v>
      </c>
      <c r="C9" s="35"/>
      <c r="D9" s="35"/>
      <c r="E9" s="35"/>
    </row>
    <row r="10" customFormat="false" ht="15" hidden="false" customHeight="true" outlineLevel="0" collapsed="false">
      <c r="B10" s="5" t="s">
        <v>137</v>
      </c>
      <c r="C10" s="28" t="n">
        <f aca="false">C7*Supuestos!$D$24</f>
        <v>7560</v>
      </c>
      <c r="D10" s="28" t="n">
        <f aca="false">D7*Supuestos!$D$25</f>
        <v>1260</v>
      </c>
      <c r="E10" s="28" t="n">
        <f aca="false">E7*Supuestos!$D$26</f>
        <v>0</v>
      </c>
      <c r="F10" s="3" t="s">
        <v>138</v>
      </c>
    </row>
    <row r="11" customFormat="false" ht="15" hidden="false" customHeight="true" outlineLevel="0" collapsed="false">
      <c r="B11" s="5" t="s">
        <v>139</v>
      </c>
      <c r="C11" s="28" t="n">
        <f aca="false">Supuestos!$C$9*Supuestos!$C$11</f>
        <v>0</v>
      </c>
      <c r="D11" s="28" t="n">
        <f aca="false">Supuestos!$C$9*Supuestos!$C$11</f>
        <v>0</v>
      </c>
      <c r="E11" s="28" t="n">
        <f aca="false">Supuestos!$C$9*Supuestos!$C$11</f>
        <v>0</v>
      </c>
      <c r="F11" s="3" t="s">
        <v>140</v>
      </c>
    </row>
    <row r="12" customFormat="false" ht="15" hidden="false" customHeight="true" outlineLevel="0" collapsed="false">
      <c r="B12" s="5" t="s">
        <v>141</v>
      </c>
      <c r="C12" s="28" t="n">
        <f aca="false">Supuestos!$C$24*Supuestos!$C$5</f>
        <v>0</v>
      </c>
      <c r="D12" s="28" t="n">
        <f aca="false">Supuestos!$C$25*Supuestos!$C$5</f>
        <v>2800</v>
      </c>
      <c r="E12" s="28" t="n">
        <f aca="false">Supuestos!$C$26*Supuestos!$C$5</f>
        <v>6000</v>
      </c>
      <c r="F12" s="3" t="s">
        <v>142</v>
      </c>
    </row>
    <row r="13" customFormat="false" ht="15" hidden="false" customHeight="true" outlineLevel="0" collapsed="false">
      <c r="B13" s="4" t="s">
        <v>143</v>
      </c>
      <c r="C13" s="36" t="n">
        <f aca="false">SUM(C10:C12)</f>
        <v>7560</v>
      </c>
      <c r="D13" s="36" t="n">
        <f aca="false">SUM(D10:D12)</f>
        <v>4060</v>
      </c>
      <c r="E13" s="36" t="n">
        <f aca="false">SUM(E10:E12)</f>
        <v>6000</v>
      </c>
    </row>
    <row r="14" customFormat="false" ht="15" hidden="false" customHeight="true" outlineLevel="0" collapsed="false">
      <c r="B14" s="4"/>
    </row>
    <row r="15" customFormat="false" ht="15" hidden="false" customHeight="true" outlineLevel="0" collapsed="false">
      <c r="B15" s="34" t="s">
        <v>144</v>
      </c>
      <c r="C15" s="35"/>
      <c r="D15" s="35"/>
      <c r="E15" s="35"/>
    </row>
    <row r="16" customFormat="false" ht="15" hidden="false" customHeight="true" outlineLevel="0" collapsed="false">
      <c r="B16" s="5" t="s">
        <v>145</v>
      </c>
      <c r="C16" s="28" t="n">
        <f aca="false">-(C7*Supuestos!$C$10*Supuestos!$C$14+Supuestos!$C$9*Supuestos!$C$10*Supuestos!$C$15)</f>
        <v>-1863</v>
      </c>
      <c r="D16" s="28" t="n">
        <f aca="false">-(D7*Supuestos!$C$10*Supuestos!$C$14+Supuestos!$C$9*Supuestos!$C$10*Supuestos!$C$15)</f>
        <v>-1863</v>
      </c>
      <c r="E16" s="28" t="n">
        <f aca="false">-(E7*Supuestos!$C$10*Supuestos!$C$14+Supuestos!$C$9*Supuestos!$C$10*Supuestos!$C$15)</f>
        <v>-1863</v>
      </c>
      <c r="F16" s="3" t="s">
        <v>146</v>
      </c>
    </row>
    <row r="17" customFormat="false" ht="15" hidden="false" customHeight="true" outlineLevel="0" collapsed="false">
      <c r="B17" s="5" t="s">
        <v>147</v>
      </c>
      <c r="C17" s="28" t="n">
        <f aca="false">-C12*Supuestos!$C$16</f>
        <v>-0</v>
      </c>
      <c r="D17" s="28" t="n">
        <f aca="false">-D12*Supuestos!$C$16</f>
        <v>-98</v>
      </c>
      <c r="E17" s="28" t="n">
        <f aca="false">-E12*Supuestos!$C$16</f>
        <v>-210</v>
      </c>
    </row>
    <row r="18" customFormat="false" ht="15" hidden="false" customHeight="true" outlineLevel="0" collapsed="false">
      <c r="B18" s="5" t="s">
        <v>148</v>
      </c>
      <c r="C18" s="28" t="n">
        <f aca="false">-Supuestos!$C$9*(Supuestos!$C$19+Supuestos!$C$20)</f>
        <v>-900</v>
      </c>
      <c r="D18" s="28" t="n">
        <f aca="false">-Supuestos!$C$9*(Supuestos!$C$19+Supuestos!$C$20)</f>
        <v>-900</v>
      </c>
      <c r="E18" s="28" t="n">
        <f aca="false">-Supuestos!$C$9*(Supuestos!$C$19+Supuestos!$C$20)</f>
        <v>-900</v>
      </c>
    </row>
    <row r="19" customFormat="false" ht="15" hidden="false" customHeight="true" outlineLevel="0" collapsed="false">
      <c r="B19" s="4" t="s">
        <v>149</v>
      </c>
      <c r="C19" s="36" t="n">
        <f aca="false">SUM(C16:C18)</f>
        <v>-2763</v>
      </c>
      <c r="D19" s="36" t="n">
        <f aca="false">SUM(D16:D18)</f>
        <v>-2861</v>
      </c>
      <c r="E19" s="36" t="n">
        <f aca="false">SUM(E16:E18)</f>
        <v>-2973</v>
      </c>
    </row>
    <row r="20" customFormat="false" ht="15" hidden="false" customHeight="true" outlineLevel="0" collapsed="false">
      <c r="B20" s="4"/>
    </row>
    <row r="21" customFormat="false" ht="15" hidden="false" customHeight="true" outlineLevel="0" collapsed="false">
      <c r="B21" s="4" t="s">
        <v>150</v>
      </c>
      <c r="C21" s="36" t="n">
        <f aca="false">C13+C19</f>
        <v>4797</v>
      </c>
      <c r="D21" s="36" t="n">
        <f aca="false">D13+D19</f>
        <v>1199</v>
      </c>
      <c r="E21" s="36" t="n">
        <f aca="false">E13+E19</f>
        <v>3027</v>
      </c>
      <c r="F21" s="3" t="s">
        <v>151</v>
      </c>
    </row>
    <row r="22" customFormat="false" ht="15" hidden="false" customHeight="true" outlineLevel="0" collapsed="false">
      <c r="B22" s="5" t="s">
        <v>152</v>
      </c>
      <c r="C22" s="37" t="n">
        <f aca="false">C21/Supuestos!$C$9</f>
        <v>26.65</v>
      </c>
      <c r="D22" s="37" t="n">
        <f aca="false">D21/Supuestos!$C$9</f>
        <v>6.66111111111111</v>
      </c>
      <c r="E22" s="37" t="n">
        <f aca="false">E21/Supuestos!$C$9</f>
        <v>16.8166666666667</v>
      </c>
    </row>
    <row r="23" customFormat="false" ht="15" hidden="false" customHeight="true" outlineLevel="0" collapsed="false">
      <c r="B23" s="5" t="s">
        <v>153</v>
      </c>
      <c r="C23" s="25" t="n">
        <f aca="false">IFERROR(C21/C7,0)</f>
        <v>0.0761428571428571</v>
      </c>
      <c r="D23" s="25" t="n">
        <f aca="false">IFERROR(D21/D7,0)</f>
        <v>0.019031746031746</v>
      </c>
      <c r="E23" s="25" t="n">
        <f aca="false">IFERROR(E21/E7,0)</f>
        <v>0.048047619047619</v>
      </c>
      <c r="F23" s="3" t="s">
        <v>154</v>
      </c>
    </row>
    <row r="25" customFormat="false" ht="15" hidden="false" customHeight="true" outlineLevel="0" collapsed="false">
      <c r="B25" s="6" t="s">
        <v>155</v>
      </c>
      <c r="C25" s="6"/>
      <c r="D25" s="6"/>
      <c r="E25" s="6" t="s">
        <v>52</v>
      </c>
    </row>
    <row r="26" customFormat="false" ht="15" hidden="false" customHeight="true" outlineLevel="0" collapsed="false">
      <c r="B26" s="5" t="s">
        <v>156</v>
      </c>
      <c r="C26" s="28" t="n">
        <f aca="false">Supuestos!C8</f>
        <v>350</v>
      </c>
    </row>
    <row r="27" customFormat="false" ht="15" hidden="false" customHeight="true" outlineLevel="0" collapsed="false">
      <c r="B27" s="5" t="s">
        <v>157</v>
      </c>
      <c r="C27" s="28" t="n">
        <f aca="false">C26*Supuestos!D25</f>
        <v>7</v>
      </c>
      <c r="F27" s="3" t="s">
        <v>158</v>
      </c>
    </row>
    <row r="28" customFormat="false" ht="15" hidden="false" customHeight="true" outlineLevel="0" collapsed="false">
      <c r="B28" s="5" t="s">
        <v>159</v>
      </c>
      <c r="C28" s="28" t="n">
        <f aca="false">Supuestos!C11</f>
        <v>0</v>
      </c>
      <c r="F28" s="3" t="s">
        <v>160</v>
      </c>
    </row>
    <row r="29" customFormat="false" ht="15" hidden="false" customHeight="true" outlineLevel="0" collapsed="false">
      <c r="B29" s="5" t="s">
        <v>161</v>
      </c>
      <c r="C29" s="28" t="n">
        <f aca="false">-(C26*Supuestos!C14+Supuestos!C15)</f>
        <v>-17.25</v>
      </c>
      <c r="F29" s="3" t="s">
        <v>162</v>
      </c>
    </row>
    <row r="30" customFormat="false" ht="15" hidden="false" customHeight="true" outlineLevel="0" collapsed="false">
      <c r="B30" s="5" t="s">
        <v>163</v>
      </c>
      <c r="C30" s="28" t="n">
        <f aca="false">-(Supuestos!C19+Supuestos!C20)</f>
        <v>-5</v>
      </c>
    </row>
    <row r="31" customFormat="false" ht="15" hidden="false" customHeight="true" outlineLevel="0" collapsed="false">
      <c r="B31" s="4" t="s">
        <v>164</v>
      </c>
      <c r="C31" s="36" t="n">
        <f aca="false">SUM(C27:C30)</f>
        <v>-15.25</v>
      </c>
      <c r="F31" s="3" t="s">
        <v>165</v>
      </c>
    </row>
    <row r="32" customFormat="false" ht="15" hidden="false" customHeight="true" outlineLevel="0" collapsed="false">
      <c r="B32" s="4" t="s">
        <v>166</v>
      </c>
      <c r="C32" s="36" t="n">
        <f aca="false">IFERROR(IF(C31&gt;=0,"todos (no hace falta subsidio)",(Supuestos!C25*Supuestos!C5*(1-Supuestos!C16))/-C31),"n/a")</f>
        <v>177.180327868852</v>
      </c>
      <c r="F32" s="3" t="s">
        <v>167</v>
      </c>
    </row>
    <row r="33" customFormat="false" ht="15" hidden="false" customHeight="true" outlineLevel="0" collapsed="false">
      <c r="B33" s="5" t="s">
        <v>168</v>
      </c>
      <c r="C33" s="28" t="n">
        <f aca="false">Supuestos!C9</f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14" min="3" style="1" width="13"/>
  </cols>
  <sheetData>
    <row r="1" customFormat="false" ht="17.25" hidden="false" customHeight="true" outlineLevel="0" collapsed="false">
      <c r="B1" s="2" t="s">
        <v>169</v>
      </c>
    </row>
    <row r="2" customFormat="false" ht="15" hidden="false" customHeight="true" outlineLevel="0" collapsed="false">
      <c r="B2" s="3" t="s">
        <v>170</v>
      </c>
    </row>
    <row r="4" customFormat="false" ht="15" hidden="false" customHeight="true" outlineLevel="0" collapsed="false">
      <c r="B4" s="4" t="s">
        <v>171</v>
      </c>
      <c r="C4" s="38" t="s">
        <v>172</v>
      </c>
      <c r="D4" s="38" t="s">
        <v>173</v>
      </c>
      <c r="E4" s="38" t="s">
        <v>174</v>
      </c>
      <c r="F4" s="38" t="s">
        <v>175</v>
      </c>
      <c r="G4" s="38" t="s">
        <v>176</v>
      </c>
      <c r="H4" s="38" t="s">
        <v>177</v>
      </c>
      <c r="I4" s="38" t="s">
        <v>178</v>
      </c>
      <c r="J4" s="38" t="s">
        <v>179</v>
      </c>
      <c r="K4" s="38" t="s">
        <v>180</v>
      </c>
      <c r="L4" s="38" t="s">
        <v>181</v>
      </c>
      <c r="M4" s="38" t="s">
        <v>182</v>
      </c>
      <c r="N4" s="38" t="s">
        <v>183</v>
      </c>
    </row>
    <row r="5" customFormat="false" ht="15" hidden="false" customHeight="true" outlineLevel="0" collapsed="false">
      <c r="B5" s="5" t="s">
        <v>184</v>
      </c>
      <c r="C5" s="28" t="n">
        <f aca="false">Supuestos!$C$35</f>
        <v>10</v>
      </c>
      <c r="D5" s="28" t="n">
        <f aca="false">ROUND(C5*(1+Supuestos!$C$36),0)</f>
        <v>13</v>
      </c>
      <c r="E5" s="28" t="n">
        <f aca="false">ROUND(D5*(1+Supuestos!$C$36),0)</f>
        <v>16</v>
      </c>
      <c r="F5" s="28" t="n">
        <f aca="false">ROUND(E5*(1+Supuestos!$C$36),0)</f>
        <v>20</v>
      </c>
      <c r="G5" s="28" t="n">
        <f aca="false">ROUND(F5*(1+Supuestos!$C$36),0)</f>
        <v>25</v>
      </c>
      <c r="H5" s="28" t="n">
        <f aca="false">ROUND(G5*(1+Supuestos!$C$36),0)</f>
        <v>31</v>
      </c>
      <c r="I5" s="28" t="n">
        <f aca="false">ROUND(H5*(1+Supuestos!$C$36),0)</f>
        <v>39</v>
      </c>
      <c r="J5" s="28" t="n">
        <f aca="false">ROUND(I5*(1+Supuestos!$C$36),0)</f>
        <v>49</v>
      </c>
      <c r="K5" s="28" t="n">
        <f aca="false">ROUND(J5*(1+Supuestos!$C$36),0)</f>
        <v>61</v>
      </c>
      <c r="L5" s="28" t="n">
        <f aca="false">ROUND(K5*(1+Supuestos!$C$36),0)</f>
        <v>76</v>
      </c>
      <c r="M5" s="28" t="n">
        <f aca="false">ROUND(L5*(1+Supuestos!$C$36),0)</f>
        <v>95</v>
      </c>
      <c r="N5" s="28" t="n">
        <f aca="false">ROUND(M5*(1+Supuestos!$C$36),0)</f>
        <v>119</v>
      </c>
    </row>
    <row r="6" customFormat="false" ht="15" hidden="false" customHeight="true" outlineLevel="0" collapsed="false">
      <c r="B6" s="5" t="s">
        <v>185</v>
      </c>
      <c r="C6" s="28" t="n">
        <f aca="false">C5*Supuestos!$C$29</f>
        <v>7</v>
      </c>
      <c r="D6" s="28" t="n">
        <f aca="false">D5*Supuestos!$C$29</f>
        <v>9.1</v>
      </c>
      <c r="E6" s="28" t="n">
        <f aca="false">E5*Supuestos!$C$29</f>
        <v>11.2</v>
      </c>
      <c r="F6" s="28" t="n">
        <f aca="false">F5*Supuestos!$C$29</f>
        <v>14</v>
      </c>
      <c r="G6" s="28" t="n">
        <f aca="false">G5*Supuestos!$C$29</f>
        <v>17.5</v>
      </c>
      <c r="H6" s="28" t="n">
        <f aca="false">H5*Supuestos!$C$29</f>
        <v>21.7</v>
      </c>
      <c r="I6" s="28" t="n">
        <f aca="false">I5*Supuestos!$C$29</f>
        <v>27.3</v>
      </c>
      <c r="J6" s="28" t="n">
        <f aca="false">J5*Supuestos!$C$29</f>
        <v>34.3</v>
      </c>
      <c r="K6" s="28" t="n">
        <f aca="false">K5*Supuestos!$C$29</f>
        <v>42.7</v>
      </c>
      <c r="L6" s="28" t="n">
        <f aca="false">L5*Supuestos!$C$29</f>
        <v>53.2</v>
      </c>
      <c r="M6" s="28" t="n">
        <f aca="false">M5*Supuestos!$C$29</f>
        <v>66.5</v>
      </c>
      <c r="N6" s="28" t="n">
        <f aca="false">N5*Supuestos!$C$29</f>
        <v>83.3</v>
      </c>
    </row>
    <row r="7" customFormat="false" ht="15" hidden="false" customHeight="true" outlineLevel="0" collapsed="false">
      <c r="B7" s="5" t="s">
        <v>186</v>
      </c>
      <c r="C7" s="28" t="n">
        <f aca="false">C5*Supuestos!$C$30</f>
        <v>2.8</v>
      </c>
      <c r="D7" s="28" t="n">
        <f aca="false">D5*Supuestos!$C$30</f>
        <v>3.64</v>
      </c>
      <c r="E7" s="28" t="n">
        <f aca="false">E5*Supuestos!$C$30</f>
        <v>4.48</v>
      </c>
      <c r="F7" s="28" t="n">
        <f aca="false">F5*Supuestos!$C$30</f>
        <v>5.6</v>
      </c>
      <c r="G7" s="28" t="n">
        <f aca="false">G5*Supuestos!$C$30</f>
        <v>7</v>
      </c>
      <c r="H7" s="28" t="n">
        <f aca="false">H5*Supuestos!$C$30</f>
        <v>8.68</v>
      </c>
      <c r="I7" s="28" t="n">
        <f aca="false">I5*Supuestos!$C$30</f>
        <v>10.92</v>
      </c>
      <c r="J7" s="28" t="n">
        <f aca="false">J5*Supuestos!$C$30</f>
        <v>13.72</v>
      </c>
      <c r="K7" s="28" t="n">
        <f aca="false">K5*Supuestos!$C$30</f>
        <v>17.08</v>
      </c>
      <c r="L7" s="28" t="n">
        <f aca="false">L5*Supuestos!$C$30</f>
        <v>21.28</v>
      </c>
      <c r="M7" s="28" t="n">
        <f aca="false">M5*Supuestos!$C$30</f>
        <v>26.6</v>
      </c>
      <c r="N7" s="28" t="n">
        <f aca="false">N5*Supuestos!$C$30</f>
        <v>33.32</v>
      </c>
    </row>
    <row r="8" customFormat="false" ht="15" hidden="false" customHeight="true" outlineLevel="0" collapsed="false">
      <c r="B8" s="5" t="s">
        <v>187</v>
      </c>
      <c r="C8" s="28" t="n">
        <f aca="false">C5*Supuestos!$C$31</f>
        <v>0.2</v>
      </c>
      <c r="D8" s="28" t="n">
        <f aca="false">D5*Supuestos!$C$31</f>
        <v>0.26</v>
      </c>
      <c r="E8" s="28" t="n">
        <f aca="false">E5*Supuestos!$C$31</f>
        <v>0.32</v>
      </c>
      <c r="F8" s="28" t="n">
        <f aca="false">F5*Supuestos!$C$31</f>
        <v>0.4</v>
      </c>
      <c r="G8" s="28" t="n">
        <f aca="false">G5*Supuestos!$C$31</f>
        <v>0.5</v>
      </c>
      <c r="H8" s="28" t="n">
        <f aca="false">H5*Supuestos!$C$31</f>
        <v>0.62</v>
      </c>
      <c r="I8" s="28" t="n">
        <f aca="false">I5*Supuestos!$C$31</f>
        <v>0.78</v>
      </c>
      <c r="J8" s="28" t="n">
        <f aca="false">J5*Supuestos!$C$31</f>
        <v>0.98</v>
      </c>
      <c r="K8" s="28" t="n">
        <f aca="false">K5*Supuestos!$C$31</f>
        <v>1.22</v>
      </c>
      <c r="L8" s="28" t="n">
        <f aca="false">L5*Supuestos!$C$31</f>
        <v>1.52</v>
      </c>
      <c r="M8" s="28" t="n">
        <f aca="false">M5*Supuestos!$C$31</f>
        <v>1.9</v>
      </c>
      <c r="N8" s="28" t="n">
        <f aca="false">N5*Supuestos!$C$31</f>
        <v>2.38</v>
      </c>
    </row>
    <row r="9" customFormat="false" ht="15" hidden="false" customHeight="true" outlineLevel="0" collapsed="false">
      <c r="B9" s="5" t="s">
        <v>188</v>
      </c>
      <c r="C9" s="28" t="n">
        <f aca="false">C5*Supuestos!$C$9</f>
        <v>1800</v>
      </c>
      <c r="D9" s="28" t="n">
        <f aca="false">D5*Supuestos!$C$9</f>
        <v>2340</v>
      </c>
      <c r="E9" s="28" t="n">
        <f aca="false">E5*Supuestos!$C$9</f>
        <v>2880</v>
      </c>
      <c r="F9" s="28" t="n">
        <f aca="false">F5*Supuestos!$C$9</f>
        <v>3600</v>
      </c>
      <c r="G9" s="28" t="n">
        <f aca="false">G5*Supuestos!$C$9</f>
        <v>4500</v>
      </c>
      <c r="H9" s="28" t="n">
        <f aca="false">H5*Supuestos!$C$9</f>
        <v>5580</v>
      </c>
      <c r="I9" s="28" t="n">
        <f aca="false">I5*Supuestos!$C$9</f>
        <v>7020</v>
      </c>
      <c r="J9" s="28" t="n">
        <f aca="false">J5*Supuestos!$C$9</f>
        <v>8820</v>
      </c>
      <c r="K9" s="28" t="n">
        <f aca="false">K5*Supuestos!$C$9</f>
        <v>10980</v>
      </c>
      <c r="L9" s="28" t="n">
        <f aca="false">L5*Supuestos!$C$9</f>
        <v>13680</v>
      </c>
      <c r="M9" s="28" t="n">
        <f aca="false">M5*Supuestos!$C$9</f>
        <v>17100</v>
      </c>
      <c r="N9" s="28" t="n">
        <f aca="false">N5*Supuestos!$C$9</f>
        <v>21420</v>
      </c>
    </row>
    <row r="10" customFormat="false" ht="15" hidden="false" customHeight="true" outlineLevel="0" collapsed="false">
      <c r="B10" s="34" t="s">
        <v>189</v>
      </c>
      <c r="C10" s="39" t="n">
        <f aca="false">C9*Supuestos!$C$8</f>
        <v>630000</v>
      </c>
      <c r="D10" s="39" t="n">
        <f aca="false">D9*Supuestos!$C$8</f>
        <v>819000</v>
      </c>
      <c r="E10" s="39" t="n">
        <f aca="false">E9*Supuestos!$C$8</f>
        <v>1008000</v>
      </c>
      <c r="F10" s="39" t="n">
        <f aca="false">F9*Supuestos!$C$8</f>
        <v>1260000</v>
      </c>
      <c r="G10" s="39" t="n">
        <f aca="false">G9*Supuestos!$C$8</f>
        <v>1575000</v>
      </c>
      <c r="H10" s="39" t="n">
        <f aca="false">H9*Supuestos!$C$8</f>
        <v>1953000</v>
      </c>
      <c r="I10" s="39" t="n">
        <f aca="false">I9*Supuestos!$C$8</f>
        <v>2457000</v>
      </c>
      <c r="J10" s="39" t="n">
        <f aca="false">J9*Supuestos!$C$8</f>
        <v>3087000</v>
      </c>
      <c r="K10" s="39" t="n">
        <f aca="false">K9*Supuestos!$C$8</f>
        <v>3843000</v>
      </c>
      <c r="L10" s="39" t="n">
        <f aca="false">L9*Supuestos!$C$8</f>
        <v>4788000</v>
      </c>
      <c r="M10" s="39" t="n">
        <f aca="false">M9*Supuestos!$C$8</f>
        <v>5985000</v>
      </c>
      <c r="N10" s="39" t="n">
        <f aca="false">N9*Supuestos!$C$8</f>
        <v>7497000</v>
      </c>
    </row>
    <row r="12" customFormat="false" ht="15" hidden="false" customHeight="true" outlineLevel="0" collapsed="false">
      <c r="B12" s="5" t="s">
        <v>137</v>
      </c>
      <c r="C12" s="28" t="n">
        <f aca="false">Supuestos!$C$8*Supuestos!$C$9*(C6*Supuestos!$D$24+C7*Supuestos!$D$25+C8*Supuestos!$D$26)</f>
        <v>56448</v>
      </c>
      <c r="D12" s="28" t="n">
        <f aca="false">Supuestos!$C$8*Supuestos!$C$9*(D6*Supuestos!$D$24+D7*Supuestos!$D$25+D8*Supuestos!$D$26)</f>
        <v>73382.4</v>
      </c>
      <c r="E12" s="28" t="n">
        <f aca="false">Supuestos!$C$8*Supuestos!$C$9*(E6*Supuestos!$D$24+E7*Supuestos!$D$25+E8*Supuestos!$D$26)</f>
        <v>90316.8</v>
      </c>
      <c r="F12" s="28" t="n">
        <f aca="false">Supuestos!$C$8*Supuestos!$C$9*(F6*Supuestos!$D$24+F7*Supuestos!$D$25+F8*Supuestos!$D$26)</f>
        <v>112896</v>
      </c>
      <c r="G12" s="28" t="n">
        <f aca="false">Supuestos!$C$8*Supuestos!$C$9*(G6*Supuestos!$D$24+G7*Supuestos!$D$25+G8*Supuestos!$D$26)</f>
        <v>141120</v>
      </c>
      <c r="H12" s="28" t="n">
        <f aca="false">Supuestos!$C$8*Supuestos!$C$9*(H6*Supuestos!$D$24+H7*Supuestos!$D$25+H8*Supuestos!$D$26)</f>
        <v>174988.8</v>
      </c>
      <c r="I12" s="28" t="n">
        <f aca="false">Supuestos!$C$8*Supuestos!$C$9*(I6*Supuestos!$D$24+I7*Supuestos!$D$25+I8*Supuestos!$D$26)</f>
        <v>220147.2</v>
      </c>
      <c r="J12" s="28" t="n">
        <f aca="false">Supuestos!$C$8*Supuestos!$C$9*(J6*Supuestos!$D$24+J7*Supuestos!$D$25+J8*Supuestos!$D$26)</f>
        <v>276595.2</v>
      </c>
      <c r="K12" s="28" t="n">
        <f aca="false">Supuestos!$C$8*Supuestos!$C$9*(K6*Supuestos!$D$24+K7*Supuestos!$D$25+K8*Supuestos!$D$26)</f>
        <v>344332.8</v>
      </c>
      <c r="L12" s="28" t="n">
        <f aca="false">Supuestos!$C$8*Supuestos!$C$9*(L6*Supuestos!$D$24+L7*Supuestos!$D$25+L8*Supuestos!$D$26)</f>
        <v>429004.8</v>
      </c>
      <c r="M12" s="28" t="n">
        <f aca="false">Supuestos!$C$8*Supuestos!$C$9*(M6*Supuestos!$D$24+M7*Supuestos!$D$25+M8*Supuestos!$D$26)</f>
        <v>536256</v>
      </c>
      <c r="N12" s="28" t="n">
        <f aca="false">Supuestos!$C$8*Supuestos!$C$9*(N6*Supuestos!$D$24+N7*Supuestos!$D$25+N8*Supuestos!$D$26)</f>
        <v>671731.2</v>
      </c>
    </row>
    <row r="13" customFormat="false" ht="15" hidden="false" customHeight="true" outlineLevel="0" collapsed="false">
      <c r="B13" s="5" t="s">
        <v>190</v>
      </c>
      <c r="C13" s="28" t="n">
        <f aca="false">(C7*Supuestos!$C$25+C8*Supuestos!$C$26)*Supuestos!$C$5</f>
        <v>9040</v>
      </c>
      <c r="D13" s="28" t="n">
        <f aca="false">(D7*Supuestos!$C$25+D8*Supuestos!$C$26)*Supuestos!$C$5</f>
        <v>11752</v>
      </c>
      <c r="E13" s="28" t="n">
        <f aca="false">(E7*Supuestos!$C$25+E8*Supuestos!$C$26)*Supuestos!$C$5</f>
        <v>14464</v>
      </c>
      <c r="F13" s="28" t="n">
        <f aca="false">(F7*Supuestos!$C$25+F8*Supuestos!$C$26)*Supuestos!$C$5</f>
        <v>18080</v>
      </c>
      <c r="G13" s="28" t="n">
        <f aca="false">(G7*Supuestos!$C$25+G8*Supuestos!$C$26)*Supuestos!$C$5</f>
        <v>22600</v>
      </c>
      <c r="H13" s="28" t="n">
        <f aca="false">(H7*Supuestos!$C$25+H8*Supuestos!$C$26)*Supuestos!$C$5</f>
        <v>28024</v>
      </c>
      <c r="I13" s="28" t="n">
        <f aca="false">(I7*Supuestos!$C$25+I8*Supuestos!$C$26)*Supuestos!$C$5</f>
        <v>35256</v>
      </c>
      <c r="J13" s="28" t="n">
        <f aca="false">(J7*Supuestos!$C$25+J8*Supuestos!$C$26)*Supuestos!$C$5</f>
        <v>44296</v>
      </c>
      <c r="K13" s="28" t="n">
        <f aca="false">(K7*Supuestos!$C$25+K8*Supuestos!$C$26)*Supuestos!$C$5</f>
        <v>55144</v>
      </c>
      <c r="L13" s="28" t="n">
        <f aca="false">(L7*Supuestos!$C$25+L8*Supuestos!$C$26)*Supuestos!$C$5</f>
        <v>68704</v>
      </c>
      <c r="M13" s="28" t="n">
        <f aca="false">(M7*Supuestos!$C$25+M8*Supuestos!$C$26)*Supuestos!$C$5</f>
        <v>85880</v>
      </c>
      <c r="N13" s="28" t="n">
        <f aca="false">(N7*Supuestos!$C$25+N8*Supuestos!$C$26)*Supuestos!$C$5</f>
        <v>107576</v>
      </c>
    </row>
    <row r="14" customFormat="false" ht="15" hidden="false" customHeight="true" outlineLevel="0" collapsed="false">
      <c r="B14" s="5" t="s">
        <v>139</v>
      </c>
      <c r="C14" s="28" t="n">
        <f aca="false">C9*Supuestos!$C$11</f>
        <v>0</v>
      </c>
      <c r="D14" s="28" t="n">
        <f aca="false">D9*Supuestos!$C$11</f>
        <v>0</v>
      </c>
      <c r="E14" s="28" t="n">
        <f aca="false">E9*Supuestos!$C$11</f>
        <v>0</v>
      </c>
      <c r="F14" s="28" t="n">
        <f aca="false">F9*Supuestos!$C$11</f>
        <v>0</v>
      </c>
      <c r="G14" s="28" t="n">
        <f aca="false">G9*Supuestos!$C$11</f>
        <v>0</v>
      </c>
      <c r="H14" s="28" t="n">
        <f aca="false">H9*Supuestos!$C$11</f>
        <v>0</v>
      </c>
      <c r="I14" s="28" t="n">
        <f aca="false">I9*Supuestos!$C$11</f>
        <v>0</v>
      </c>
      <c r="J14" s="28" t="n">
        <f aca="false">J9*Supuestos!$C$11</f>
        <v>0</v>
      </c>
      <c r="K14" s="28" t="n">
        <f aca="false">K9*Supuestos!$C$11</f>
        <v>0</v>
      </c>
      <c r="L14" s="28" t="n">
        <f aca="false">L9*Supuestos!$C$11</f>
        <v>0</v>
      </c>
      <c r="M14" s="28" t="n">
        <f aca="false">M9*Supuestos!$C$11</f>
        <v>0</v>
      </c>
      <c r="N14" s="28" t="n">
        <f aca="false">N9*Supuestos!$C$11</f>
        <v>0</v>
      </c>
    </row>
    <row r="15" customFormat="false" ht="15" hidden="false" customHeight="true" outlineLevel="0" collapsed="false">
      <c r="B15" s="34" t="s">
        <v>143</v>
      </c>
      <c r="C15" s="39" t="n">
        <f aca="false">SUM(C12:C14)</f>
        <v>65488</v>
      </c>
      <c r="D15" s="39" t="n">
        <f aca="false">SUM(D12:D14)</f>
        <v>85134.4</v>
      </c>
      <c r="E15" s="39" t="n">
        <f aca="false">SUM(E12:E14)</f>
        <v>104780.8</v>
      </c>
      <c r="F15" s="39" t="n">
        <f aca="false">SUM(F12:F14)</f>
        <v>130976</v>
      </c>
      <c r="G15" s="39" t="n">
        <f aca="false">SUM(G12:G14)</f>
        <v>163720</v>
      </c>
      <c r="H15" s="39" t="n">
        <f aca="false">SUM(H12:H14)</f>
        <v>203012.8</v>
      </c>
      <c r="I15" s="39" t="n">
        <f aca="false">SUM(I12:I14)</f>
        <v>255403.2</v>
      </c>
      <c r="J15" s="39" t="n">
        <f aca="false">SUM(J12:J14)</f>
        <v>320891.2</v>
      </c>
      <c r="K15" s="39" t="n">
        <f aca="false">SUM(K12:K14)</f>
        <v>399476.8</v>
      </c>
      <c r="L15" s="39" t="n">
        <f aca="false">SUM(L12:L14)</f>
        <v>497708.8</v>
      </c>
      <c r="M15" s="39" t="n">
        <f aca="false">SUM(M12:M14)</f>
        <v>622136</v>
      </c>
      <c r="N15" s="39" t="n">
        <f aca="false">SUM(N12:N14)</f>
        <v>779307.2</v>
      </c>
    </row>
    <row r="17" customFormat="false" ht="15" hidden="false" customHeight="true" outlineLevel="0" collapsed="false">
      <c r="B17" s="5" t="s">
        <v>191</v>
      </c>
      <c r="C17" s="28" t="n">
        <f aca="false">-(C10*Supuestos!$C$10*Supuestos!$C$14+C9*Supuestos!$C$10*Supuestos!$C$15)</f>
        <v>-18630</v>
      </c>
      <c r="D17" s="28" t="n">
        <f aca="false">-(D10*Supuestos!$C$10*Supuestos!$C$14+D9*Supuestos!$C$10*Supuestos!$C$15)</f>
        <v>-24219</v>
      </c>
      <c r="E17" s="28" t="n">
        <f aca="false">-(E10*Supuestos!$C$10*Supuestos!$C$14+E9*Supuestos!$C$10*Supuestos!$C$15)</f>
        <v>-29808</v>
      </c>
      <c r="F17" s="28" t="n">
        <f aca="false">-(F10*Supuestos!$C$10*Supuestos!$C$14+F9*Supuestos!$C$10*Supuestos!$C$15)</f>
        <v>-37260</v>
      </c>
      <c r="G17" s="28" t="n">
        <f aca="false">-(G10*Supuestos!$C$10*Supuestos!$C$14+G9*Supuestos!$C$10*Supuestos!$C$15)</f>
        <v>-46575</v>
      </c>
      <c r="H17" s="28" t="n">
        <f aca="false">-(H10*Supuestos!$C$10*Supuestos!$C$14+H9*Supuestos!$C$10*Supuestos!$C$15)</f>
        <v>-57753</v>
      </c>
      <c r="I17" s="28" t="n">
        <f aca="false">-(I10*Supuestos!$C$10*Supuestos!$C$14+I9*Supuestos!$C$10*Supuestos!$C$15)</f>
        <v>-72657</v>
      </c>
      <c r="J17" s="28" t="n">
        <f aca="false">-(J10*Supuestos!$C$10*Supuestos!$C$14+J9*Supuestos!$C$10*Supuestos!$C$15)</f>
        <v>-91287</v>
      </c>
      <c r="K17" s="28" t="n">
        <f aca="false">-(K10*Supuestos!$C$10*Supuestos!$C$14+K9*Supuestos!$C$10*Supuestos!$C$15)</f>
        <v>-113643</v>
      </c>
      <c r="L17" s="28" t="n">
        <f aca="false">-(L10*Supuestos!$C$10*Supuestos!$C$14+L9*Supuestos!$C$10*Supuestos!$C$15)</f>
        <v>-141588</v>
      </c>
      <c r="M17" s="28" t="n">
        <f aca="false">-(M10*Supuestos!$C$10*Supuestos!$C$14+M9*Supuestos!$C$10*Supuestos!$C$15)</f>
        <v>-176985</v>
      </c>
      <c r="N17" s="28" t="n">
        <f aca="false">-(N10*Supuestos!$C$10*Supuestos!$C$14+N9*Supuestos!$C$10*Supuestos!$C$15)</f>
        <v>-221697</v>
      </c>
    </row>
    <row r="18" customFormat="false" ht="15" hidden="false" customHeight="true" outlineLevel="0" collapsed="false">
      <c r="B18" s="5" t="s">
        <v>192</v>
      </c>
      <c r="C18" s="28" t="n">
        <f aca="false">-C13*Supuestos!$C$16</f>
        <v>-316.4</v>
      </c>
      <c r="D18" s="28" t="n">
        <f aca="false">-D13*Supuestos!$C$16</f>
        <v>-411.32</v>
      </c>
      <c r="E18" s="28" t="n">
        <f aca="false">-E13*Supuestos!$C$16</f>
        <v>-506.24</v>
      </c>
      <c r="F18" s="28" t="n">
        <f aca="false">-F13*Supuestos!$C$16</f>
        <v>-632.8</v>
      </c>
      <c r="G18" s="28" t="n">
        <f aca="false">-G13*Supuestos!$C$16</f>
        <v>-791</v>
      </c>
      <c r="H18" s="28" t="n">
        <f aca="false">-H13*Supuestos!$C$16</f>
        <v>-980.84</v>
      </c>
      <c r="I18" s="28" t="n">
        <f aca="false">-I13*Supuestos!$C$16</f>
        <v>-1233.96</v>
      </c>
      <c r="J18" s="28" t="n">
        <f aca="false">-J13*Supuestos!$C$16</f>
        <v>-1550.36</v>
      </c>
      <c r="K18" s="28" t="n">
        <f aca="false">-K13*Supuestos!$C$16</f>
        <v>-1930.04</v>
      </c>
      <c r="L18" s="28" t="n">
        <f aca="false">-L13*Supuestos!$C$16</f>
        <v>-2404.64</v>
      </c>
      <c r="M18" s="28" t="n">
        <f aca="false">-M13*Supuestos!$C$16</f>
        <v>-3005.8</v>
      </c>
      <c r="N18" s="28" t="n">
        <f aca="false">-N13*Supuestos!$C$16</f>
        <v>-3765.16</v>
      </c>
    </row>
    <row r="19" customFormat="false" ht="15" hidden="false" customHeight="true" outlineLevel="0" collapsed="false">
      <c r="B19" s="5" t="s">
        <v>163</v>
      </c>
      <c r="C19" s="28" t="n">
        <f aca="false">-C9*(Supuestos!$C$19+Supuestos!$C$20)</f>
        <v>-9000</v>
      </c>
      <c r="D19" s="28" t="n">
        <f aca="false">-D9*(Supuestos!$C$19+Supuestos!$C$20)</f>
        <v>-11700</v>
      </c>
      <c r="E19" s="28" t="n">
        <f aca="false">-E9*(Supuestos!$C$19+Supuestos!$C$20)</f>
        <v>-14400</v>
      </c>
      <c r="F19" s="28" t="n">
        <f aca="false">-F9*(Supuestos!$C$19+Supuestos!$C$20)</f>
        <v>-18000</v>
      </c>
      <c r="G19" s="28" t="n">
        <f aca="false">-G9*(Supuestos!$C$19+Supuestos!$C$20)</f>
        <v>-22500</v>
      </c>
      <c r="H19" s="28" t="n">
        <f aca="false">-H9*(Supuestos!$C$19+Supuestos!$C$20)</f>
        <v>-27900</v>
      </c>
      <c r="I19" s="28" t="n">
        <f aca="false">-I9*(Supuestos!$C$19+Supuestos!$C$20)</f>
        <v>-35100</v>
      </c>
      <c r="J19" s="28" t="n">
        <f aca="false">-J9*(Supuestos!$C$19+Supuestos!$C$20)</f>
        <v>-44100</v>
      </c>
      <c r="K19" s="28" t="n">
        <f aca="false">-K9*(Supuestos!$C$19+Supuestos!$C$20)</f>
        <v>-54900</v>
      </c>
      <c r="L19" s="28" t="n">
        <f aca="false">-L9*(Supuestos!$C$19+Supuestos!$C$20)</f>
        <v>-68400</v>
      </c>
      <c r="M19" s="28" t="n">
        <f aca="false">-M9*(Supuestos!$C$19+Supuestos!$C$20)</f>
        <v>-85500</v>
      </c>
      <c r="N19" s="28" t="n">
        <f aca="false">-N9*(Supuestos!$C$19+Supuestos!$C$20)</f>
        <v>-107100</v>
      </c>
    </row>
    <row r="20" customFormat="false" ht="15" hidden="false" customHeight="true" outlineLevel="0" collapsed="false">
      <c r="B20" s="34" t="s">
        <v>193</v>
      </c>
      <c r="C20" s="39" t="n">
        <f aca="false">C15+SUM(C17:C19)</f>
        <v>37541.6</v>
      </c>
      <c r="D20" s="39" t="n">
        <f aca="false">D15+SUM(D17:D19)</f>
        <v>48804.08</v>
      </c>
      <c r="E20" s="39" t="n">
        <f aca="false">E15+SUM(E17:E19)</f>
        <v>60066.56</v>
      </c>
      <c r="F20" s="39" t="n">
        <f aca="false">F15+SUM(F17:F19)</f>
        <v>75083.2</v>
      </c>
      <c r="G20" s="39" t="n">
        <f aca="false">G15+SUM(G17:G19)</f>
        <v>93854</v>
      </c>
      <c r="H20" s="39" t="n">
        <f aca="false">H15+SUM(H17:H19)</f>
        <v>116378.96</v>
      </c>
      <c r="I20" s="39" t="n">
        <f aca="false">I15+SUM(I17:I19)</f>
        <v>146412.24</v>
      </c>
      <c r="J20" s="39" t="n">
        <f aca="false">J15+SUM(J17:J19)</f>
        <v>183953.84</v>
      </c>
      <c r="K20" s="39" t="n">
        <f aca="false">K15+SUM(K17:K19)</f>
        <v>229003.76</v>
      </c>
      <c r="L20" s="39" t="n">
        <f aca="false">L15+SUM(L17:L19)</f>
        <v>285316.16</v>
      </c>
      <c r="M20" s="39" t="n">
        <f aca="false">M15+SUM(M17:M19)</f>
        <v>356645.2</v>
      </c>
      <c r="N20" s="39" t="n">
        <f aca="false">N15+SUM(N17:N19)</f>
        <v>446745.04</v>
      </c>
    </row>
    <row r="21" customFormat="false" ht="15" hidden="false" customHeight="true" outlineLevel="0" collapsed="false">
      <c r="B21" s="5" t="s">
        <v>194</v>
      </c>
      <c r="C21" s="28" t="n">
        <f aca="false">-Supuestos!$C$42</f>
        <v>-368000</v>
      </c>
      <c r="D21" s="28" t="n">
        <f aca="false">-Supuestos!$C$42</f>
        <v>-368000</v>
      </c>
      <c r="E21" s="28" t="n">
        <f aca="false">-Supuestos!$C$42</f>
        <v>-368000</v>
      </c>
      <c r="F21" s="28" t="n">
        <f aca="false">-Supuestos!$C$42</f>
        <v>-368000</v>
      </c>
      <c r="G21" s="28" t="n">
        <f aca="false">-Supuestos!$C$42</f>
        <v>-368000</v>
      </c>
      <c r="H21" s="28" t="n">
        <f aca="false">-Supuestos!$C$42</f>
        <v>-368000</v>
      </c>
      <c r="I21" s="28" t="n">
        <f aca="false">-Supuestos!$C$42</f>
        <v>-368000</v>
      </c>
      <c r="J21" s="28" t="n">
        <f aca="false">-Supuestos!$C$42</f>
        <v>-368000</v>
      </c>
      <c r="K21" s="28" t="n">
        <f aca="false">-Supuestos!$C$42</f>
        <v>-368000</v>
      </c>
      <c r="L21" s="28" t="n">
        <f aca="false">-Supuestos!$C$42</f>
        <v>-368000</v>
      </c>
      <c r="M21" s="28" t="n">
        <f aca="false">-Supuestos!$C$42</f>
        <v>-368000</v>
      </c>
      <c r="N21" s="28" t="n">
        <f aca="false">-Supuestos!$C$42</f>
        <v>-368000</v>
      </c>
    </row>
    <row r="22" customFormat="false" ht="15" hidden="false" customHeight="true" outlineLevel="0" collapsed="false">
      <c r="B22" s="34" t="s">
        <v>195</v>
      </c>
      <c r="C22" s="39" t="n">
        <f aca="false">C20+C21</f>
        <v>-330458.4</v>
      </c>
      <c r="D22" s="39" t="n">
        <f aca="false">D20+D21</f>
        <v>-319195.92</v>
      </c>
      <c r="E22" s="39" t="n">
        <f aca="false">E20+E21</f>
        <v>-307933.44</v>
      </c>
      <c r="F22" s="39" t="n">
        <f aca="false">F20+F21</f>
        <v>-292916.8</v>
      </c>
      <c r="G22" s="39" t="n">
        <f aca="false">G20+G21</f>
        <v>-274146</v>
      </c>
      <c r="H22" s="39" t="n">
        <f aca="false">H20+H21</f>
        <v>-251621.04</v>
      </c>
      <c r="I22" s="39" t="n">
        <f aca="false">I20+I21</f>
        <v>-221587.76</v>
      </c>
      <c r="J22" s="39" t="n">
        <f aca="false">J20+J21</f>
        <v>-184046.16</v>
      </c>
      <c r="K22" s="39" t="n">
        <f aca="false">K20+K21</f>
        <v>-138996.24</v>
      </c>
      <c r="L22" s="39" t="n">
        <f aca="false">L20+L21</f>
        <v>-82683.84</v>
      </c>
      <c r="M22" s="39" t="n">
        <f aca="false">M20+M21</f>
        <v>-11354.8</v>
      </c>
      <c r="N22" s="39" t="n">
        <f aca="false">N20+N21</f>
        <v>78745.0399999998</v>
      </c>
    </row>
    <row r="24" customFormat="false" ht="15" hidden="false" customHeight="true" outlineLevel="0" collapsed="false">
      <c r="B24" s="5" t="s">
        <v>153</v>
      </c>
      <c r="C24" s="25" t="n">
        <f aca="false">IFERROR(C15/C10,0)</f>
        <v>0.103949206349206</v>
      </c>
      <c r="D24" s="25" t="n">
        <f aca="false">IFERROR(D15/D10,0)</f>
        <v>0.103949206349206</v>
      </c>
      <c r="E24" s="25" t="n">
        <f aca="false">IFERROR(E15/E10,0)</f>
        <v>0.103949206349206</v>
      </c>
      <c r="F24" s="25" t="n">
        <f aca="false">IFERROR(F15/F10,0)</f>
        <v>0.103949206349206</v>
      </c>
      <c r="G24" s="25" t="n">
        <f aca="false">IFERROR(G15/G10,0)</f>
        <v>0.103949206349206</v>
      </c>
      <c r="H24" s="25" t="n">
        <f aca="false">IFERROR(H15/H10,0)</f>
        <v>0.103949206349206</v>
      </c>
      <c r="I24" s="25" t="n">
        <f aca="false">IFERROR(I15/I10,0)</f>
        <v>0.103949206349206</v>
      </c>
      <c r="J24" s="25" t="n">
        <f aca="false">IFERROR(J15/J10,0)</f>
        <v>0.103949206349206</v>
      </c>
      <c r="K24" s="25" t="n">
        <f aca="false">IFERROR(K15/K10,0)</f>
        <v>0.103949206349206</v>
      </c>
      <c r="L24" s="25" t="n">
        <f aca="false">IFERROR(L15/L10,0)</f>
        <v>0.103949206349206</v>
      </c>
      <c r="M24" s="25" t="n">
        <f aca="false">IFERROR(M15/M10,0)</f>
        <v>0.103949206349206</v>
      </c>
      <c r="N24" s="25" t="n">
        <f aca="false">IFERROR(N15/N10,0)</f>
        <v>0.103949206349206</v>
      </c>
    </row>
    <row r="25" customFormat="false" ht="15" hidden="false" customHeight="true" outlineLevel="0" collapsed="false">
      <c r="B25" s="5" t="s">
        <v>196</v>
      </c>
      <c r="C25" s="28" t="n">
        <f aca="false">IFERROR(C20/C5,0)</f>
        <v>3754.16</v>
      </c>
      <c r="D25" s="28" t="n">
        <f aca="false">IFERROR(D20/D5,0)</f>
        <v>3754.16</v>
      </c>
      <c r="E25" s="28" t="n">
        <f aca="false">IFERROR(E20/E5,0)</f>
        <v>3754.16</v>
      </c>
      <c r="F25" s="28" t="n">
        <f aca="false">IFERROR(F20/F5,0)</f>
        <v>3754.16</v>
      </c>
      <c r="G25" s="28" t="n">
        <f aca="false">IFERROR(G20/G5,0)</f>
        <v>3754.16</v>
      </c>
      <c r="H25" s="28" t="n">
        <f aca="false">IFERROR(H20/H5,0)</f>
        <v>3754.16</v>
      </c>
      <c r="I25" s="28" t="n">
        <f aca="false">IFERROR(I20/I5,0)</f>
        <v>3754.16</v>
      </c>
      <c r="J25" s="28" t="n">
        <f aca="false">IFERROR(J20/J5,0)</f>
        <v>3754.16</v>
      </c>
      <c r="K25" s="28" t="n">
        <f aca="false">IFERROR(K20/K5,0)</f>
        <v>3754.16</v>
      </c>
      <c r="L25" s="28" t="n">
        <f aca="false">IFERROR(L20/L5,0)</f>
        <v>3754.16</v>
      </c>
      <c r="M25" s="28" t="n">
        <f aca="false">IFERROR(M20/M5,0)</f>
        <v>3754.16</v>
      </c>
      <c r="N25" s="28" t="n">
        <f aca="false">IFERROR(N20/N5,0)</f>
        <v>3754.16</v>
      </c>
    </row>
    <row r="26" customFormat="false" ht="15" hidden="false" customHeight="true" outlineLevel="0" collapsed="false">
      <c r="B26" s="5" t="s">
        <v>197</v>
      </c>
      <c r="C26" s="27" t="n">
        <f aca="false">C22/Supuestos!$C$5</f>
        <v>-8261.46</v>
      </c>
      <c r="D26" s="27" t="n">
        <f aca="false">D22/Supuestos!$C$5</f>
        <v>-7979.898</v>
      </c>
      <c r="E26" s="27" t="n">
        <f aca="false">E22/Supuestos!$C$5</f>
        <v>-7698.336</v>
      </c>
      <c r="F26" s="27" t="n">
        <f aca="false">F22/Supuestos!$C$5</f>
        <v>-7322.92</v>
      </c>
      <c r="G26" s="27" t="n">
        <f aca="false">G22/Supuestos!$C$5</f>
        <v>-6853.65</v>
      </c>
      <c r="H26" s="27" t="n">
        <f aca="false">H22/Supuestos!$C$5</f>
        <v>-6290.526</v>
      </c>
      <c r="I26" s="27" t="n">
        <f aca="false">I22/Supuestos!$C$5</f>
        <v>-5539.694</v>
      </c>
      <c r="J26" s="27" t="n">
        <f aca="false">J22/Supuestos!$C$5</f>
        <v>-4601.154</v>
      </c>
      <c r="K26" s="27" t="n">
        <f aca="false">K22/Supuestos!$C$5</f>
        <v>-3474.906</v>
      </c>
      <c r="L26" s="27" t="n">
        <f aca="false">L22/Supuestos!$C$5</f>
        <v>-2067.096</v>
      </c>
      <c r="M26" s="27" t="n">
        <f aca="false">M22/Supuestos!$C$5</f>
        <v>-283.87</v>
      </c>
      <c r="N26" s="27" t="n">
        <f aca="false">N22/Supuestos!$C$5</f>
        <v>1968.626</v>
      </c>
    </row>
    <row r="27" customFormat="false" ht="15" hidden="false" customHeight="true" outlineLevel="0" collapsed="false">
      <c r="B27" s="3" t="s">
        <v>198</v>
      </c>
    </row>
    <row r="28" customFormat="false" ht="15" hidden="false" customHeight="true" outlineLevel="0" collapsed="false">
      <c r="B28" s="3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11" min="3" style="1" width="12"/>
  </cols>
  <sheetData>
    <row r="1" customFormat="false" ht="17.25" hidden="false" customHeight="true" outlineLevel="0" collapsed="false">
      <c r="B1" s="2" t="s">
        <v>200</v>
      </c>
    </row>
    <row r="2" customFormat="false" ht="15" hidden="false" customHeight="true" outlineLevel="0" collapsed="false">
      <c r="B2" s="3" t="s">
        <v>201</v>
      </c>
    </row>
    <row r="3" customFormat="false" ht="15" hidden="false" customHeight="true" outlineLevel="0" collapsed="false">
      <c r="B3" s="3" t="s">
        <v>202</v>
      </c>
    </row>
    <row r="5" customFormat="false" ht="15" hidden="false" customHeight="true" outlineLevel="0" collapsed="false">
      <c r="B5" s="6" t="s">
        <v>203</v>
      </c>
      <c r="C5" s="6"/>
      <c r="D5" s="6"/>
      <c r="E5" s="6" t="s">
        <v>52</v>
      </c>
    </row>
    <row r="6" customFormat="false" ht="15" hidden="false" customHeight="true" outlineLevel="0" collapsed="false">
      <c r="B6" s="29" t="s">
        <v>204</v>
      </c>
      <c r="C6" s="40" t="n">
        <v>0</v>
      </c>
      <c r="D6" s="40" t="n">
        <v>20</v>
      </c>
      <c r="E6" s="40" t="n">
        <v>40</v>
      </c>
      <c r="F6" s="40" t="n">
        <v>55</v>
      </c>
      <c r="G6" s="40" t="n">
        <v>70</v>
      </c>
      <c r="H6" s="40" t="n">
        <v>85</v>
      </c>
      <c r="I6" s="40" t="n">
        <v>100</v>
      </c>
      <c r="J6" s="40" t="n">
        <v>130</v>
      </c>
      <c r="K6" s="40" t="n">
        <v>160</v>
      </c>
    </row>
    <row r="7" customFormat="false" ht="15" hidden="false" customHeight="true" outlineLevel="0" collapsed="false">
      <c r="B7" s="41" t="n">
        <v>0</v>
      </c>
      <c r="C7" s="42" t="n">
        <f aca="false">(Supuestos!$C$9*Supuestos!$C$8*$B7)+(Supuestos!$C$9*Supuestos!$C$11)+(C$6*Supuestos!$C$5*(1-Supuestos!$C$16))-(Supuestos!$C$9*Supuestos!$C$8*Supuestos!$C$10*Supuestos!$C$14)-(Supuestos!$C$9*Supuestos!$C$10*Supuestos!$C$15)-(Supuestos!$C$9*(Supuestos!$C$19+Supuestos!$C$20))</f>
        <v>-2763</v>
      </c>
      <c r="D7" s="42" t="n">
        <f aca="false">(Supuestos!$C$9*Supuestos!$C$8*$B7)+(Supuestos!$C$9*Supuestos!$C$11)+(D$6*Supuestos!$C$5*(1-Supuestos!$C$16))-(Supuestos!$C$9*Supuestos!$C$8*Supuestos!$C$10*Supuestos!$C$14)-(Supuestos!$C$9*Supuestos!$C$10*Supuestos!$C$15)-(Supuestos!$C$9*(Supuestos!$C$19+Supuestos!$C$20))</f>
        <v>-1991</v>
      </c>
      <c r="E7" s="42" t="n">
        <f aca="false">(Supuestos!$C$9*Supuestos!$C$8*$B7)+(Supuestos!$C$9*Supuestos!$C$11)+(E$6*Supuestos!$C$5*(1-Supuestos!$C$16))-(Supuestos!$C$9*Supuestos!$C$8*Supuestos!$C$10*Supuestos!$C$14)-(Supuestos!$C$9*Supuestos!$C$10*Supuestos!$C$15)-(Supuestos!$C$9*(Supuestos!$C$19+Supuestos!$C$20))</f>
        <v>-1219</v>
      </c>
      <c r="F7" s="42" t="n">
        <f aca="false">(Supuestos!$C$9*Supuestos!$C$8*$B7)+(Supuestos!$C$9*Supuestos!$C$11)+(F$6*Supuestos!$C$5*(1-Supuestos!$C$16))-(Supuestos!$C$9*Supuestos!$C$8*Supuestos!$C$10*Supuestos!$C$14)-(Supuestos!$C$9*Supuestos!$C$10*Supuestos!$C$15)-(Supuestos!$C$9*(Supuestos!$C$19+Supuestos!$C$20))</f>
        <v>-640</v>
      </c>
      <c r="G7" s="42" t="n">
        <f aca="false">(Supuestos!$C$9*Supuestos!$C$8*$B7)+(Supuestos!$C$9*Supuestos!$C$11)+(G$6*Supuestos!$C$5*(1-Supuestos!$C$16))-(Supuestos!$C$9*Supuestos!$C$8*Supuestos!$C$10*Supuestos!$C$14)-(Supuestos!$C$9*Supuestos!$C$10*Supuestos!$C$15)-(Supuestos!$C$9*(Supuestos!$C$19+Supuestos!$C$20))</f>
        <v>-61.0000000000002</v>
      </c>
      <c r="H7" s="42" t="n">
        <f aca="false">(Supuestos!$C$9*Supuestos!$C$8*$B7)+(Supuestos!$C$9*Supuestos!$C$11)+(H$6*Supuestos!$C$5*(1-Supuestos!$C$16))-(Supuestos!$C$9*Supuestos!$C$8*Supuestos!$C$10*Supuestos!$C$14)-(Supuestos!$C$9*Supuestos!$C$10*Supuestos!$C$15)-(Supuestos!$C$9*(Supuestos!$C$19+Supuestos!$C$20))</f>
        <v>518</v>
      </c>
      <c r="I7" s="42" t="n">
        <f aca="false">(Supuestos!$C$9*Supuestos!$C$8*$B7)+(Supuestos!$C$9*Supuestos!$C$11)+(I$6*Supuestos!$C$5*(1-Supuestos!$C$16))-(Supuestos!$C$9*Supuestos!$C$8*Supuestos!$C$10*Supuestos!$C$14)-(Supuestos!$C$9*Supuestos!$C$10*Supuestos!$C$15)-(Supuestos!$C$9*(Supuestos!$C$19+Supuestos!$C$20))</f>
        <v>1097</v>
      </c>
      <c r="J7" s="42" t="n">
        <f aca="false">(Supuestos!$C$9*Supuestos!$C$8*$B7)+(Supuestos!$C$9*Supuestos!$C$11)+(J$6*Supuestos!$C$5*(1-Supuestos!$C$16))-(Supuestos!$C$9*Supuestos!$C$8*Supuestos!$C$10*Supuestos!$C$14)-(Supuestos!$C$9*Supuestos!$C$10*Supuestos!$C$15)-(Supuestos!$C$9*(Supuestos!$C$19+Supuestos!$C$20))</f>
        <v>2255</v>
      </c>
      <c r="K7" s="42" t="n">
        <f aca="false">(Supuestos!$C$9*Supuestos!$C$8*$B7)+(Supuestos!$C$9*Supuestos!$C$11)+(K$6*Supuestos!$C$5*(1-Supuestos!$C$16))-(Supuestos!$C$9*Supuestos!$C$8*Supuestos!$C$10*Supuestos!$C$14)-(Supuestos!$C$9*Supuestos!$C$10*Supuestos!$C$15)-(Supuestos!$C$9*(Supuestos!$C$19+Supuestos!$C$20))</f>
        <v>3413</v>
      </c>
    </row>
    <row r="8" customFormat="false" ht="15" hidden="false" customHeight="true" outlineLevel="0" collapsed="false">
      <c r="B8" s="41" t="n">
        <v>0.01</v>
      </c>
      <c r="C8" s="42" t="n">
        <f aca="false">(Supuestos!$C$9*Supuestos!$C$8*$B8)+(Supuestos!$C$9*Supuestos!$C$11)+(C$6*Supuestos!$C$5*(1-Supuestos!$C$16))-(Supuestos!$C$9*Supuestos!$C$8*Supuestos!$C$10*Supuestos!$C$14)-(Supuestos!$C$9*Supuestos!$C$10*Supuestos!$C$15)-(Supuestos!$C$9*(Supuestos!$C$19+Supuestos!$C$20))</f>
        <v>-2133</v>
      </c>
      <c r="D8" s="42" t="n">
        <f aca="false">(Supuestos!$C$9*Supuestos!$C$8*$B8)+(Supuestos!$C$9*Supuestos!$C$11)+(D$6*Supuestos!$C$5*(1-Supuestos!$C$16))-(Supuestos!$C$9*Supuestos!$C$8*Supuestos!$C$10*Supuestos!$C$14)-(Supuestos!$C$9*Supuestos!$C$10*Supuestos!$C$15)-(Supuestos!$C$9*(Supuestos!$C$19+Supuestos!$C$20))</f>
        <v>-1361</v>
      </c>
      <c r="E8" s="42" t="n">
        <f aca="false">(Supuestos!$C$9*Supuestos!$C$8*$B8)+(Supuestos!$C$9*Supuestos!$C$11)+(E$6*Supuestos!$C$5*(1-Supuestos!$C$16))-(Supuestos!$C$9*Supuestos!$C$8*Supuestos!$C$10*Supuestos!$C$14)-(Supuestos!$C$9*Supuestos!$C$10*Supuestos!$C$15)-(Supuestos!$C$9*(Supuestos!$C$19+Supuestos!$C$20))</f>
        <v>-589</v>
      </c>
      <c r="F8" s="42" t="n">
        <f aca="false">(Supuestos!$C$9*Supuestos!$C$8*$B8)+(Supuestos!$C$9*Supuestos!$C$11)+(F$6*Supuestos!$C$5*(1-Supuestos!$C$16))-(Supuestos!$C$9*Supuestos!$C$8*Supuestos!$C$10*Supuestos!$C$14)-(Supuestos!$C$9*Supuestos!$C$10*Supuestos!$C$15)-(Supuestos!$C$9*(Supuestos!$C$19+Supuestos!$C$20))</f>
        <v>-10.0000000000002</v>
      </c>
      <c r="G8" s="42" t="n">
        <f aca="false">(Supuestos!$C$9*Supuestos!$C$8*$B8)+(Supuestos!$C$9*Supuestos!$C$11)+(G$6*Supuestos!$C$5*(1-Supuestos!$C$16))-(Supuestos!$C$9*Supuestos!$C$8*Supuestos!$C$10*Supuestos!$C$14)-(Supuestos!$C$9*Supuestos!$C$10*Supuestos!$C$15)-(Supuestos!$C$9*(Supuestos!$C$19+Supuestos!$C$20))</f>
        <v>569</v>
      </c>
      <c r="H8" s="42" t="n">
        <f aca="false">(Supuestos!$C$9*Supuestos!$C$8*$B8)+(Supuestos!$C$9*Supuestos!$C$11)+(H$6*Supuestos!$C$5*(1-Supuestos!$C$16))-(Supuestos!$C$9*Supuestos!$C$8*Supuestos!$C$10*Supuestos!$C$14)-(Supuestos!$C$9*Supuestos!$C$10*Supuestos!$C$15)-(Supuestos!$C$9*(Supuestos!$C$19+Supuestos!$C$20))</f>
        <v>1148</v>
      </c>
      <c r="I8" s="42" t="n">
        <f aca="false">(Supuestos!$C$9*Supuestos!$C$8*$B8)+(Supuestos!$C$9*Supuestos!$C$11)+(I$6*Supuestos!$C$5*(1-Supuestos!$C$16))-(Supuestos!$C$9*Supuestos!$C$8*Supuestos!$C$10*Supuestos!$C$14)-(Supuestos!$C$9*Supuestos!$C$10*Supuestos!$C$15)-(Supuestos!$C$9*(Supuestos!$C$19+Supuestos!$C$20))</f>
        <v>1727</v>
      </c>
      <c r="J8" s="42" t="n">
        <f aca="false">(Supuestos!$C$9*Supuestos!$C$8*$B8)+(Supuestos!$C$9*Supuestos!$C$11)+(J$6*Supuestos!$C$5*(1-Supuestos!$C$16))-(Supuestos!$C$9*Supuestos!$C$8*Supuestos!$C$10*Supuestos!$C$14)-(Supuestos!$C$9*Supuestos!$C$10*Supuestos!$C$15)-(Supuestos!$C$9*(Supuestos!$C$19+Supuestos!$C$20))</f>
        <v>2885</v>
      </c>
      <c r="K8" s="42" t="n">
        <f aca="false">(Supuestos!$C$9*Supuestos!$C$8*$B8)+(Supuestos!$C$9*Supuestos!$C$11)+(K$6*Supuestos!$C$5*(1-Supuestos!$C$16))-(Supuestos!$C$9*Supuestos!$C$8*Supuestos!$C$10*Supuestos!$C$14)-(Supuestos!$C$9*Supuestos!$C$10*Supuestos!$C$15)-(Supuestos!$C$9*(Supuestos!$C$19+Supuestos!$C$20))</f>
        <v>4043</v>
      </c>
    </row>
    <row r="9" customFormat="false" ht="15" hidden="false" customHeight="true" outlineLevel="0" collapsed="false">
      <c r="B9" s="41" t="n">
        <v>0.02</v>
      </c>
      <c r="C9" s="42" t="n">
        <f aca="false">(Supuestos!$C$9*Supuestos!$C$8*$B9)+(Supuestos!$C$9*Supuestos!$C$11)+(C$6*Supuestos!$C$5*(1-Supuestos!$C$16))-(Supuestos!$C$9*Supuestos!$C$8*Supuestos!$C$10*Supuestos!$C$14)-(Supuestos!$C$9*Supuestos!$C$10*Supuestos!$C$15)-(Supuestos!$C$9*(Supuestos!$C$19+Supuestos!$C$20))</f>
        <v>-1503</v>
      </c>
      <c r="D9" s="42" t="n">
        <f aca="false">(Supuestos!$C$9*Supuestos!$C$8*$B9)+(Supuestos!$C$9*Supuestos!$C$11)+(D$6*Supuestos!$C$5*(1-Supuestos!$C$16))-(Supuestos!$C$9*Supuestos!$C$8*Supuestos!$C$10*Supuestos!$C$14)-(Supuestos!$C$9*Supuestos!$C$10*Supuestos!$C$15)-(Supuestos!$C$9*(Supuestos!$C$19+Supuestos!$C$20))</f>
        <v>-731</v>
      </c>
      <c r="E9" s="42" t="n">
        <f aca="false">(Supuestos!$C$9*Supuestos!$C$8*$B9)+(Supuestos!$C$9*Supuestos!$C$11)+(E$6*Supuestos!$C$5*(1-Supuestos!$C$16))-(Supuestos!$C$9*Supuestos!$C$8*Supuestos!$C$10*Supuestos!$C$14)-(Supuestos!$C$9*Supuestos!$C$10*Supuestos!$C$15)-(Supuestos!$C$9*(Supuestos!$C$19+Supuestos!$C$20))</f>
        <v>40.9999999999998</v>
      </c>
      <c r="F9" s="42" t="n">
        <f aca="false">(Supuestos!$C$9*Supuestos!$C$8*$B9)+(Supuestos!$C$9*Supuestos!$C$11)+(F$6*Supuestos!$C$5*(1-Supuestos!$C$16))-(Supuestos!$C$9*Supuestos!$C$8*Supuestos!$C$10*Supuestos!$C$14)-(Supuestos!$C$9*Supuestos!$C$10*Supuestos!$C$15)-(Supuestos!$C$9*(Supuestos!$C$19+Supuestos!$C$20))</f>
        <v>620</v>
      </c>
      <c r="G9" s="42" t="n">
        <f aca="false">(Supuestos!$C$9*Supuestos!$C$8*$B9)+(Supuestos!$C$9*Supuestos!$C$11)+(G$6*Supuestos!$C$5*(1-Supuestos!$C$16))-(Supuestos!$C$9*Supuestos!$C$8*Supuestos!$C$10*Supuestos!$C$14)-(Supuestos!$C$9*Supuestos!$C$10*Supuestos!$C$15)-(Supuestos!$C$9*(Supuestos!$C$19+Supuestos!$C$20))</f>
        <v>1199</v>
      </c>
      <c r="H9" s="42" t="n">
        <f aca="false">(Supuestos!$C$9*Supuestos!$C$8*$B9)+(Supuestos!$C$9*Supuestos!$C$11)+(H$6*Supuestos!$C$5*(1-Supuestos!$C$16))-(Supuestos!$C$9*Supuestos!$C$8*Supuestos!$C$10*Supuestos!$C$14)-(Supuestos!$C$9*Supuestos!$C$10*Supuestos!$C$15)-(Supuestos!$C$9*(Supuestos!$C$19+Supuestos!$C$20))</f>
        <v>1778</v>
      </c>
      <c r="I9" s="42" t="n">
        <f aca="false">(Supuestos!$C$9*Supuestos!$C$8*$B9)+(Supuestos!$C$9*Supuestos!$C$11)+(I$6*Supuestos!$C$5*(1-Supuestos!$C$16))-(Supuestos!$C$9*Supuestos!$C$8*Supuestos!$C$10*Supuestos!$C$14)-(Supuestos!$C$9*Supuestos!$C$10*Supuestos!$C$15)-(Supuestos!$C$9*(Supuestos!$C$19+Supuestos!$C$20))</f>
        <v>2357</v>
      </c>
      <c r="J9" s="42" t="n">
        <f aca="false">(Supuestos!$C$9*Supuestos!$C$8*$B9)+(Supuestos!$C$9*Supuestos!$C$11)+(J$6*Supuestos!$C$5*(1-Supuestos!$C$16))-(Supuestos!$C$9*Supuestos!$C$8*Supuestos!$C$10*Supuestos!$C$14)-(Supuestos!$C$9*Supuestos!$C$10*Supuestos!$C$15)-(Supuestos!$C$9*(Supuestos!$C$19+Supuestos!$C$20))</f>
        <v>3515</v>
      </c>
      <c r="K9" s="42" t="n">
        <f aca="false">(Supuestos!$C$9*Supuestos!$C$8*$B9)+(Supuestos!$C$9*Supuestos!$C$11)+(K$6*Supuestos!$C$5*(1-Supuestos!$C$16))-(Supuestos!$C$9*Supuestos!$C$8*Supuestos!$C$10*Supuestos!$C$14)-(Supuestos!$C$9*Supuestos!$C$10*Supuestos!$C$15)-(Supuestos!$C$9*(Supuestos!$C$19+Supuestos!$C$20))</f>
        <v>4673</v>
      </c>
    </row>
    <row r="10" customFormat="false" ht="15" hidden="false" customHeight="true" outlineLevel="0" collapsed="false">
      <c r="B10" s="41" t="n">
        <v>0.03</v>
      </c>
      <c r="C10" s="42" t="n">
        <f aca="false">(Supuestos!$C$9*Supuestos!$C$8*$B10)+(Supuestos!$C$9*Supuestos!$C$11)+(C$6*Supuestos!$C$5*(1-Supuestos!$C$16))-(Supuestos!$C$9*Supuestos!$C$8*Supuestos!$C$10*Supuestos!$C$14)-(Supuestos!$C$9*Supuestos!$C$10*Supuestos!$C$15)-(Supuestos!$C$9*(Supuestos!$C$19+Supuestos!$C$20))</f>
        <v>-873</v>
      </c>
      <c r="D10" s="42" t="n">
        <f aca="false">(Supuestos!$C$9*Supuestos!$C$8*$B10)+(Supuestos!$C$9*Supuestos!$C$11)+(D$6*Supuestos!$C$5*(1-Supuestos!$C$16))-(Supuestos!$C$9*Supuestos!$C$8*Supuestos!$C$10*Supuestos!$C$14)-(Supuestos!$C$9*Supuestos!$C$10*Supuestos!$C$15)-(Supuestos!$C$9*(Supuestos!$C$19+Supuestos!$C$20))</f>
        <v>-101</v>
      </c>
      <c r="E10" s="42" t="n">
        <f aca="false">(Supuestos!$C$9*Supuestos!$C$8*$B10)+(Supuestos!$C$9*Supuestos!$C$11)+(E$6*Supuestos!$C$5*(1-Supuestos!$C$16))-(Supuestos!$C$9*Supuestos!$C$8*Supuestos!$C$10*Supuestos!$C$14)-(Supuestos!$C$9*Supuestos!$C$10*Supuestos!$C$15)-(Supuestos!$C$9*(Supuestos!$C$19+Supuestos!$C$20))</f>
        <v>671</v>
      </c>
      <c r="F10" s="42" t="n">
        <f aca="false">(Supuestos!$C$9*Supuestos!$C$8*$B10)+(Supuestos!$C$9*Supuestos!$C$11)+(F$6*Supuestos!$C$5*(1-Supuestos!$C$16))-(Supuestos!$C$9*Supuestos!$C$8*Supuestos!$C$10*Supuestos!$C$14)-(Supuestos!$C$9*Supuestos!$C$10*Supuestos!$C$15)-(Supuestos!$C$9*(Supuestos!$C$19+Supuestos!$C$20))</f>
        <v>1250</v>
      </c>
      <c r="G10" s="42" t="n">
        <f aca="false">(Supuestos!$C$9*Supuestos!$C$8*$B10)+(Supuestos!$C$9*Supuestos!$C$11)+(G$6*Supuestos!$C$5*(1-Supuestos!$C$16))-(Supuestos!$C$9*Supuestos!$C$8*Supuestos!$C$10*Supuestos!$C$14)-(Supuestos!$C$9*Supuestos!$C$10*Supuestos!$C$15)-(Supuestos!$C$9*(Supuestos!$C$19+Supuestos!$C$20))</f>
        <v>1829</v>
      </c>
      <c r="H10" s="42" t="n">
        <f aca="false">(Supuestos!$C$9*Supuestos!$C$8*$B10)+(Supuestos!$C$9*Supuestos!$C$11)+(H$6*Supuestos!$C$5*(1-Supuestos!$C$16))-(Supuestos!$C$9*Supuestos!$C$8*Supuestos!$C$10*Supuestos!$C$14)-(Supuestos!$C$9*Supuestos!$C$10*Supuestos!$C$15)-(Supuestos!$C$9*(Supuestos!$C$19+Supuestos!$C$20))</f>
        <v>2408</v>
      </c>
      <c r="I10" s="42" t="n">
        <f aca="false">(Supuestos!$C$9*Supuestos!$C$8*$B10)+(Supuestos!$C$9*Supuestos!$C$11)+(I$6*Supuestos!$C$5*(1-Supuestos!$C$16))-(Supuestos!$C$9*Supuestos!$C$8*Supuestos!$C$10*Supuestos!$C$14)-(Supuestos!$C$9*Supuestos!$C$10*Supuestos!$C$15)-(Supuestos!$C$9*(Supuestos!$C$19+Supuestos!$C$20))</f>
        <v>2987</v>
      </c>
      <c r="J10" s="42" t="n">
        <f aca="false">(Supuestos!$C$9*Supuestos!$C$8*$B10)+(Supuestos!$C$9*Supuestos!$C$11)+(J$6*Supuestos!$C$5*(1-Supuestos!$C$16))-(Supuestos!$C$9*Supuestos!$C$8*Supuestos!$C$10*Supuestos!$C$14)-(Supuestos!$C$9*Supuestos!$C$10*Supuestos!$C$15)-(Supuestos!$C$9*(Supuestos!$C$19+Supuestos!$C$20))</f>
        <v>4145</v>
      </c>
      <c r="K10" s="42" t="n">
        <f aca="false">(Supuestos!$C$9*Supuestos!$C$8*$B10)+(Supuestos!$C$9*Supuestos!$C$11)+(K$6*Supuestos!$C$5*(1-Supuestos!$C$16))-(Supuestos!$C$9*Supuestos!$C$8*Supuestos!$C$10*Supuestos!$C$14)-(Supuestos!$C$9*Supuestos!$C$10*Supuestos!$C$15)-(Supuestos!$C$9*(Supuestos!$C$19+Supuestos!$C$20))</f>
        <v>5303</v>
      </c>
    </row>
    <row r="11" customFormat="false" ht="15" hidden="false" customHeight="true" outlineLevel="0" collapsed="false">
      <c r="B11" s="41" t="n">
        <v>0.05</v>
      </c>
      <c r="C11" s="42" t="n">
        <f aca="false">(Supuestos!$C$9*Supuestos!$C$8*$B11)+(Supuestos!$C$9*Supuestos!$C$11)+(C$6*Supuestos!$C$5*(1-Supuestos!$C$16))-(Supuestos!$C$9*Supuestos!$C$8*Supuestos!$C$10*Supuestos!$C$14)-(Supuestos!$C$9*Supuestos!$C$10*Supuestos!$C$15)-(Supuestos!$C$9*(Supuestos!$C$19+Supuestos!$C$20))</f>
        <v>387</v>
      </c>
      <c r="D11" s="42" t="n">
        <f aca="false">(Supuestos!$C$9*Supuestos!$C$8*$B11)+(Supuestos!$C$9*Supuestos!$C$11)+(D$6*Supuestos!$C$5*(1-Supuestos!$C$16))-(Supuestos!$C$9*Supuestos!$C$8*Supuestos!$C$10*Supuestos!$C$14)-(Supuestos!$C$9*Supuestos!$C$10*Supuestos!$C$15)-(Supuestos!$C$9*(Supuestos!$C$19+Supuestos!$C$20))</f>
        <v>1159</v>
      </c>
      <c r="E11" s="42" t="n">
        <f aca="false">(Supuestos!$C$9*Supuestos!$C$8*$B11)+(Supuestos!$C$9*Supuestos!$C$11)+(E$6*Supuestos!$C$5*(1-Supuestos!$C$16))-(Supuestos!$C$9*Supuestos!$C$8*Supuestos!$C$10*Supuestos!$C$14)-(Supuestos!$C$9*Supuestos!$C$10*Supuestos!$C$15)-(Supuestos!$C$9*(Supuestos!$C$19+Supuestos!$C$20))</f>
        <v>1931</v>
      </c>
      <c r="F11" s="42" t="n">
        <f aca="false">(Supuestos!$C$9*Supuestos!$C$8*$B11)+(Supuestos!$C$9*Supuestos!$C$11)+(F$6*Supuestos!$C$5*(1-Supuestos!$C$16))-(Supuestos!$C$9*Supuestos!$C$8*Supuestos!$C$10*Supuestos!$C$14)-(Supuestos!$C$9*Supuestos!$C$10*Supuestos!$C$15)-(Supuestos!$C$9*(Supuestos!$C$19+Supuestos!$C$20))</f>
        <v>2510</v>
      </c>
      <c r="G11" s="42" t="n">
        <f aca="false">(Supuestos!$C$9*Supuestos!$C$8*$B11)+(Supuestos!$C$9*Supuestos!$C$11)+(G$6*Supuestos!$C$5*(1-Supuestos!$C$16))-(Supuestos!$C$9*Supuestos!$C$8*Supuestos!$C$10*Supuestos!$C$14)-(Supuestos!$C$9*Supuestos!$C$10*Supuestos!$C$15)-(Supuestos!$C$9*(Supuestos!$C$19+Supuestos!$C$20))</f>
        <v>3089</v>
      </c>
      <c r="H11" s="42" t="n">
        <f aca="false">(Supuestos!$C$9*Supuestos!$C$8*$B11)+(Supuestos!$C$9*Supuestos!$C$11)+(H$6*Supuestos!$C$5*(1-Supuestos!$C$16))-(Supuestos!$C$9*Supuestos!$C$8*Supuestos!$C$10*Supuestos!$C$14)-(Supuestos!$C$9*Supuestos!$C$10*Supuestos!$C$15)-(Supuestos!$C$9*(Supuestos!$C$19+Supuestos!$C$20))</f>
        <v>3668</v>
      </c>
      <c r="I11" s="42" t="n">
        <f aca="false">(Supuestos!$C$9*Supuestos!$C$8*$B11)+(Supuestos!$C$9*Supuestos!$C$11)+(I$6*Supuestos!$C$5*(1-Supuestos!$C$16))-(Supuestos!$C$9*Supuestos!$C$8*Supuestos!$C$10*Supuestos!$C$14)-(Supuestos!$C$9*Supuestos!$C$10*Supuestos!$C$15)-(Supuestos!$C$9*(Supuestos!$C$19+Supuestos!$C$20))</f>
        <v>4247</v>
      </c>
      <c r="J11" s="42" t="n">
        <f aca="false">(Supuestos!$C$9*Supuestos!$C$8*$B11)+(Supuestos!$C$9*Supuestos!$C$11)+(J$6*Supuestos!$C$5*(1-Supuestos!$C$16))-(Supuestos!$C$9*Supuestos!$C$8*Supuestos!$C$10*Supuestos!$C$14)-(Supuestos!$C$9*Supuestos!$C$10*Supuestos!$C$15)-(Supuestos!$C$9*(Supuestos!$C$19+Supuestos!$C$20))</f>
        <v>5405</v>
      </c>
      <c r="K11" s="42" t="n">
        <f aca="false">(Supuestos!$C$9*Supuestos!$C$8*$B11)+(Supuestos!$C$9*Supuestos!$C$11)+(K$6*Supuestos!$C$5*(1-Supuestos!$C$16))-(Supuestos!$C$9*Supuestos!$C$8*Supuestos!$C$10*Supuestos!$C$14)-(Supuestos!$C$9*Supuestos!$C$10*Supuestos!$C$15)-(Supuestos!$C$9*(Supuestos!$C$19+Supuestos!$C$20))</f>
        <v>6563</v>
      </c>
    </row>
    <row r="12" customFormat="false" ht="15" hidden="false" customHeight="true" outlineLevel="0" collapsed="false">
      <c r="B12" s="41" t="n">
        <v>0.07</v>
      </c>
      <c r="C12" s="42" t="n">
        <f aca="false">(Supuestos!$C$9*Supuestos!$C$8*$B12)+(Supuestos!$C$9*Supuestos!$C$11)+(C$6*Supuestos!$C$5*(1-Supuestos!$C$16))-(Supuestos!$C$9*Supuestos!$C$8*Supuestos!$C$10*Supuestos!$C$14)-(Supuestos!$C$9*Supuestos!$C$10*Supuestos!$C$15)-(Supuestos!$C$9*(Supuestos!$C$19+Supuestos!$C$20))</f>
        <v>1647</v>
      </c>
      <c r="D12" s="42" t="n">
        <f aca="false">(Supuestos!$C$9*Supuestos!$C$8*$B12)+(Supuestos!$C$9*Supuestos!$C$11)+(D$6*Supuestos!$C$5*(1-Supuestos!$C$16))-(Supuestos!$C$9*Supuestos!$C$8*Supuestos!$C$10*Supuestos!$C$14)-(Supuestos!$C$9*Supuestos!$C$10*Supuestos!$C$15)-(Supuestos!$C$9*(Supuestos!$C$19+Supuestos!$C$20))</f>
        <v>2419</v>
      </c>
      <c r="E12" s="42" t="n">
        <f aca="false">(Supuestos!$C$9*Supuestos!$C$8*$B12)+(Supuestos!$C$9*Supuestos!$C$11)+(E$6*Supuestos!$C$5*(1-Supuestos!$C$16))-(Supuestos!$C$9*Supuestos!$C$8*Supuestos!$C$10*Supuestos!$C$14)-(Supuestos!$C$9*Supuestos!$C$10*Supuestos!$C$15)-(Supuestos!$C$9*(Supuestos!$C$19+Supuestos!$C$20))</f>
        <v>3191</v>
      </c>
      <c r="F12" s="42" t="n">
        <f aca="false">(Supuestos!$C$9*Supuestos!$C$8*$B12)+(Supuestos!$C$9*Supuestos!$C$11)+(F$6*Supuestos!$C$5*(1-Supuestos!$C$16))-(Supuestos!$C$9*Supuestos!$C$8*Supuestos!$C$10*Supuestos!$C$14)-(Supuestos!$C$9*Supuestos!$C$10*Supuestos!$C$15)-(Supuestos!$C$9*(Supuestos!$C$19+Supuestos!$C$20))</f>
        <v>3770</v>
      </c>
      <c r="G12" s="42" t="n">
        <f aca="false">(Supuestos!$C$9*Supuestos!$C$8*$B12)+(Supuestos!$C$9*Supuestos!$C$11)+(G$6*Supuestos!$C$5*(1-Supuestos!$C$16))-(Supuestos!$C$9*Supuestos!$C$8*Supuestos!$C$10*Supuestos!$C$14)-(Supuestos!$C$9*Supuestos!$C$10*Supuestos!$C$15)-(Supuestos!$C$9*(Supuestos!$C$19+Supuestos!$C$20))</f>
        <v>4349</v>
      </c>
      <c r="H12" s="42" t="n">
        <f aca="false">(Supuestos!$C$9*Supuestos!$C$8*$B12)+(Supuestos!$C$9*Supuestos!$C$11)+(H$6*Supuestos!$C$5*(1-Supuestos!$C$16))-(Supuestos!$C$9*Supuestos!$C$8*Supuestos!$C$10*Supuestos!$C$14)-(Supuestos!$C$9*Supuestos!$C$10*Supuestos!$C$15)-(Supuestos!$C$9*(Supuestos!$C$19+Supuestos!$C$20))</f>
        <v>4928</v>
      </c>
      <c r="I12" s="42" t="n">
        <f aca="false">(Supuestos!$C$9*Supuestos!$C$8*$B12)+(Supuestos!$C$9*Supuestos!$C$11)+(I$6*Supuestos!$C$5*(1-Supuestos!$C$16))-(Supuestos!$C$9*Supuestos!$C$8*Supuestos!$C$10*Supuestos!$C$14)-(Supuestos!$C$9*Supuestos!$C$10*Supuestos!$C$15)-(Supuestos!$C$9*(Supuestos!$C$19+Supuestos!$C$20))</f>
        <v>5507</v>
      </c>
      <c r="J12" s="42" t="n">
        <f aca="false">(Supuestos!$C$9*Supuestos!$C$8*$B12)+(Supuestos!$C$9*Supuestos!$C$11)+(J$6*Supuestos!$C$5*(1-Supuestos!$C$16))-(Supuestos!$C$9*Supuestos!$C$8*Supuestos!$C$10*Supuestos!$C$14)-(Supuestos!$C$9*Supuestos!$C$10*Supuestos!$C$15)-(Supuestos!$C$9*(Supuestos!$C$19+Supuestos!$C$20))</f>
        <v>6665</v>
      </c>
      <c r="K12" s="42" t="n">
        <f aca="false">(Supuestos!$C$9*Supuestos!$C$8*$B12)+(Supuestos!$C$9*Supuestos!$C$11)+(K$6*Supuestos!$C$5*(1-Supuestos!$C$16))-(Supuestos!$C$9*Supuestos!$C$8*Supuestos!$C$10*Supuestos!$C$14)-(Supuestos!$C$9*Supuestos!$C$10*Supuestos!$C$15)-(Supuestos!$C$9*(Supuestos!$C$19+Supuestos!$C$20))</f>
        <v>7823</v>
      </c>
    </row>
    <row r="13" customFormat="false" ht="15" hidden="false" customHeight="true" outlineLevel="0" collapsed="false">
      <c r="B13" s="41" t="n">
        <v>0.09</v>
      </c>
      <c r="C13" s="42" t="n">
        <f aca="false">(Supuestos!$C$9*Supuestos!$C$8*$B13)+(Supuestos!$C$9*Supuestos!$C$11)+(C$6*Supuestos!$C$5*(1-Supuestos!$C$16))-(Supuestos!$C$9*Supuestos!$C$8*Supuestos!$C$10*Supuestos!$C$14)-(Supuestos!$C$9*Supuestos!$C$10*Supuestos!$C$15)-(Supuestos!$C$9*(Supuestos!$C$19+Supuestos!$C$20))</f>
        <v>2907</v>
      </c>
      <c r="D13" s="42" t="n">
        <f aca="false">(Supuestos!$C$9*Supuestos!$C$8*$B13)+(Supuestos!$C$9*Supuestos!$C$11)+(D$6*Supuestos!$C$5*(1-Supuestos!$C$16))-(Supuestos!$C$9*Supuestos!$C$8*Supuestos!$C$10*Supuestos!$C$14)-(Supuestos!$C$9*Supuestos!$C$10*Supuestos!$C$15)-(Supuestos!$C$9*(Supuestos!$C$19+Supuestos!$C$20))</f>
        <v>3679</v>
      </c>
      <c r="E13" s="42" t="n">
        <f aca="false">(Supuestos!$C$9*Supuestos!$C$8*$B13)+(Supuestos!$C$9*Supuestos!$C$11)+(E$6*Supuestos!$C$5*(1-Supuestos!$C$16))-(Supuestos!$C$9*Supuestos!$C$8*Supuestos!$C$10*Supuestos!$C$14)-(Supuestos!$C$9*Supuestos!$C$10*Supuestos!$C$15)-(Supuestos!$C$9*(Supuestos!$C$19+Supuestos!$C$20))</f>
        <v>4451</v>
      </c>
      <c r="F13" s="42" t="n">
        <f aca="false">(Supuestos!$C$9*Supuestos!$C$8*$B13)+(Supuestos!$C$9*Supuestos!$C$11)+(F$6*Supuestos!$C$5*(1-Supuestos!$C$16))-(Supuestos!$C$9*Supuestos!$C$8*Supuestos!$C$10*Supuestos!$C$14)-(Supuestos!$C$9*Supuestos!$C$10*Supuestos!$C$15)-(Supuestos!$C$9*(Supuestos!$C$19+Supuestos!$C$20))</f>
        <v>5030</v>
      </c>
      <c r="G13" s="42" t="n">
        <f aca="false">(Supuestos!$C$9*Supuestos!$C$8*$B13)+(Supuestos!$C$9*Supuestos!$C$11)+(G$6*Supuestos!$C$5*(1-Supuestos!$C$16))-(Supuestos!$C$9*Supuestos!$C$8*Supuestos!$C$10*Supuestos!$C$14)-(Supuestos!$C$9*Supuestos!$C$10*Supuestos!$C$15)-(Supuestos!$C$9*(Supuestos!$C$19+Supuestos!$C$20))</f>
        <v>5609</v>
      </c>
      <c r="H13" s="42" t="n">
        <f aca="false">(Supuestos!$C$9*Supuestos!$C$8*$B13)+(Supuestos!$C$9*Supuestos!$C$11)+(H$6*Supuestos!$C$5*(1-Supuestos!$C$16))-(Supuestos!$C$9*Supuestos!$C$8*Supuestos!$C$10*Supuestos!$C$14)-(Supuestos!$C$9*Supuestos!$C$10*Supuestos!$C$15)-(Supuestos!$C$9*(Supuestos!$C$19+Supuestos!$C$20))</f>
        <v>6188</v>
      </c>
      <c r="I13" s="42" t="n">
        <f aca="false">(Supuestos!$C$9*Supuestos!$C$8*$B13)+(Supuestos!$C$9*Supuestos!$C$11)+(I$6*Supuestos!$C$5*(1-Supuestos!$C$16))-(Supuestos!$C$9*Supuestos!$C$8*Supuestos!$C$10*Supuestos!$C$14)-(Supuestos!$C$9*Supuestos!$C$10*Supuestos!$C$15)-(Supuestos!$C$9*(Supuestos!$C$19+Supuestos!$C$20))</f>
        <v>6767</v>
      </c>
      <c r="J13" s="42" t="n">
        <f aca="false">(Supuestos!$C$9*Supuestos!$C$8*$B13)+(Supuestos!$C$9*Supuestos!$C$11)+(J$6*Supuestos!$C$5*(1-Supuestos!$C$16))-(Supuestos!$C$9*Supuestos!$C$8*Supuestos!$C$10*Supuestos!$C$14)-(Supuestos!$C$9*Supuestos!$C$10*Supuestos!$C$15)-(Supuestos!$C$9*(Supuestos!$C$19+Supuestos!$C$20))</f>
        <v>7925</v>
      </c>
      <c r="K13" s="42" t="n">
        <f aca="false">(Supuestos!$C$9*Supuestos!$C$8*$B13)+(Supuestos!$C$9*Supuestos!$C$11)+(K$6*Supuestos!$C$5*(1-Supuestos!$C$16))-(Supuestos!$C$9*Supuestos!$C$8*Supuestos!$C$10*Supuestos!$C$14)-(Supuestos!$C$9*Supuestos!$C$10*Supuestos!$C$15)-(Supuestos!$C$9*(Supuestos!$C$19+Supuestos!$C$20))</f>
        <v>9083</v>
      </c>
    </row>
    <row r="14" customFormat="false" ht="15" hidden="false" customHeight="true" outlineLevel="0" collapsed="false">
      <c r="B14" s="41" t="n">
        <v>0.12</v>
      </c>
      <c r="C14" s="42" t="n">
        <f aca="false">(Supuestos!$C$9*Supuestos!$C$8*$B14)+(Supuestos!$C$9*Supuestos!$C$11)+(C$6*Supuestos!$C$5*(1-Supuestos!$C$16))-(Supuestos!$C$9*Supuestos!$C$8*Supuestos!$C$10*Supuestos!$C$14)-(Supuestos!$C$9*Supuestos!$C$10*Supuestos!$C$15)-(Supuestos!$C$9*(Supuestos!$C$19+Supuestos!$C$20))</f>
        <v>4797</v>
      </c>
      <c r="D14" s="42" t="n">
        <f aca="false">(Supuestos!$C$9*Supuestos!$C$8*$B14)+(Supuestos!$C$9*Supuestos!$C$11)+(D$6*Supuestos!$C$5*(1-Supuestos!$C$16))-(Supuestos!$C$9*Supuestos!$C$8*Supuestos!$C$10*Supuestos!$C$14)-(Supuestos!$C$9*Supuestos!$C$10*Supuestos!$C$15)-(Supuestos!$C$9*(Supuestos!$C$19+Supuestos!$C$20))</f>
        <v>5569</v>
      </c>
      <c r="E14" s="42" t="n">
        <f aca="false">(Supuestos!$C$9*Supuestos!$C$8*$B14)+(Supuestos!$C$9*Supuestos!$C$11)+(E$6*Supuestos!$C$5*(1-Supuestos!$C$16))-(Supuestos!$C$9*Supuestos!$C$8*Supuestos!$C$10*Supuestos!$C$14)-(Supuestos!$C$9*Supuestos!$C$10*Supuestos!$C$15)-(Supuestos!$C$9*(Supuestos!$C$19+Supuestos!$C$20))</f>
        <v>6341</v>
      </c>
      <c r="F14" s="42" t="n">
        <f aca="false">(Supuestos!$C$9*Supuestos!$C$8*$B14)+(Supuestos!$C$9*Supuestos!$C$11)+(F$6*Supuestos!$C$5*(1-Supuestos!$C$16))-(Supuestos!$C$9*Supuestos!$C$8*Supuestos!$C$10*Supuestos!$C$14)-(Supuestos!$C$9*Supuestos!$C$10*Supuestos!$C$15)-(Supuestos!$C$9*(Supuestos!$C$19+Supuestos!$C$20))</f>
        <v>6920</v>
      </c>
      <c r="G14" s="42" t="n">
        <f aca="false">(Supuestos!$C$9*Supuestos!$C$8*$B14)+(Supuestos!$C$9*Supuestos!$C$11)+(G$6*Supuestos!$C$5*(1-Supuestos!$C$16))-(Supuestos!$C$9*Supuestos!$C$8*Supuestos!$C$10*Supuestos!$C$14)-(Supuestos!$C$9*Supuestos!$C$10*Supuestos!$C$15)-(Supuestos!$C$9*(Supuestos!$C$19+Supuestos!$C$20))</f>
        <v>7499</v>
      </c>
      <c r="H14" s="42" t="n">
        <f aca="false">(Supuestos!$C$9*Supuestos!$C$8*$B14)+(Supuestos!$C$9*Supuestos!$C$11)+(H$6*Supuestos!$C$5*(1-Supuestos!$C$16))-(Supuestos!$C$9*Supuestos!$C$8*Supuestos!$C$10*Supuestos!$C$14)-(Supuestos!$C$9*Supuestos!$C$10*Supuestos!$C$15)-(Supuestos!$C$9*(Supuestos!$C$19+Supuestos!$C$20))</f>
        <v>8078</v>
      </c>
      <c r="I14" s="42" t="n">
        <f aca="false">(Supuestos!$C$9*Supuestos!$C$8*$B14)+(Supuestos!$C$9*Supuestos!$C$11)+(I$6*Supuestos!$C$5*(1-Supuestos!$C$16))-(Supuestos!$C$9*Supuestos!$C$8*Supuestos!$C$10*Supuestos!$C$14)-(Supuestos!$C$9*Supuestos!$C$10*Supuestos!$C$15)-(Supuestos!$C$9*(Supuestos!$C$19+Supuestos!$C$20))</f>
        <v>8657</v>
      </c>
      <c r="J14" s="42" t="n">
        <f aca="false">(Supuestos!$C$9*Supuestos!$C$8*$B14)+(Supuestos!$C$9*Supuestos!$C$11)+(J$6*Supuestos!$C$5*(1-Supuestos!$C$16))-(Supuestos!$C$9*Supuestos!$C$8*Supuestos!$C$10*Supuestos!$C$14)-(Supuestos!$C$9*Supuestos!$C$10*Supuestos!$C$15)-(Supuestos!$C$9*(Supuestos!$C$19+Supuestos!$C$20))</f>
        <v>9815</v>
      </c>
      <c r="K14" s="42" t="n">
        <f aca="false">(Supuestos!$C$9*Supuestos!$C$8*$B14)+(Supuestos!$C$9*Supuestos!$C$11)+(K$6*Supuestos!$C$5*(1-Supuestos!$C$16))-(Supuestos!$C$9*Supuestos!$C$8*Supuestos!$C$10*Supuestos!$C$14)-(Supuestos!$C$9*Supuestos!$C$10*Supuestos!$C$15)-(Supuestos!$C$9*(Supuestos!$C$19+Supuestos!$C$20))</f>
        <v>10973</v>
      </c>
    </row>
    <row r="15" customFormat="false" ht="15" hidden="false" customHeight="true" outlineLevel="0" collapsed="false">
      <c r="B15" s="41" t="n">
        <v>0.15</v>
      </c>
      <c r="C15" s="42" t="n">
        <f aca="false">(Supuestos!$C$9*Supuestos!$C$8*$B15)+(Supuestos!$C$9*Supuestos!$C$11)+(C$6*Supuestos!$C$5*(1-Supuestos!$C$16))-(Supuestos!$C$9*Supuestos!$C$8*Supuestos!$C$10*Supuestos!$C$14)-(Supuestos!$C$9*Supuestos!$C$10*Supuestos!$C$15)-(Supuestos!$C$9*(Supuestos!$C$19+Supuestos!$C$20))</f>
        <v>6687</v>
      </c>
      <c r="D15" s="42" t="n">
        <f aca="false">(Supuestos!$C$9*Supuestos!$C$8*$B15)+(Supuestos!$C$9*Supuestos!$C$11)+(D$6*Supuestos!$C$5*(1-Supuestos!$C$16))-(Supuestos!$C$9*Supuestos!$C$8*Supuestos!$C$10*Supuestos!$C$14)-(Supuestos!$C$9*Supuestos!$C$10*Supuestos!$C$15)-(Supuestos!$C$9*(Supuestos!$C$19+Supuestos!$C$20))</f>
        <v>7459</v>
      </c>
      <c r="E15" s="42" t="n">
        <f aca="false">(Supuestos!$C$9*Supuestos!$C$8*$B15)+(Supuestos!$C$9*Supuestos!$C$11)+(E$6*Supuestos!$C$5*(1-Supuestos!$C$16))-(Supuestos!$C$9*Supuestos!$C$8*Supuestos!$C$10*Supuestos!$C$14)-(Supuestos!$C$9*Supuestos!$C$10*Supuestos!$C$15)-(Supuestos!$C$9*(Supuestos!$C$19+Supuestos!$C$20))</f>
        <v>8231</v>
      </c>
      <c r="F15" s="42" t="n">
        <f aca="false">(Supuestos!$C$9*Supuestos!$C$8*$B15)+(Supuestos!$C$9*Supuestos!$C$11)+(F$6*Supuestos!$C$5*(1-Supuestos!$C$16))-(Supuestos!$C$9*Supuestos!$C$8*Supuestos!$C$10*Supuestos!$C$14)-(Supuestos!$C$9*Supuestos!$C$10*Supuestos!$C$15)-(Supuestos!$C$9*(Supuestos!$C$19+Supuestos!$C$20))</f>
        <v>8810</v>
      </c>
      <c r="G15" s="42" t="n">
        <f aca="false">(Supuestos!$C$9*Supuestos!$C$8*$B15)+(Supuestos!$C$9*Supuestos!$C$11)+(G$6*Supuestos!$C$5*(1-Supuestos!$C$16))-(Supuestos!$C$9*Supuestos!$C$8*Supuestos!$C$10*Supuestos!$C$14)-(Supuestos!$C$9*Supuestos!$C$10*Supuestos!$C$15)-(Supuestos!$C$9*(Supuestos!$C$19+Supuestos!$C$20))</f>
        <v>9389</v>
      </c>
      <c r="H15" s="42" t="n">
        <f aca="false">(Supuestos!$C$9*Supuestos!$C$8*$B15)+(Supuestos!$C$9*Supuestos!$C$11)+(H$6*Supuestos!$C$5*(1-Supuestos!$C$16))-(Supuestos!$C$9*Supuestos!$C$8*Supuestos!$C$10*Supuestos!$C$14)-(Supuestos!$C$9*Supuestos!$C$10*Supuestos!$C$15)-(Supuestos!$C$9*(Supuestos!$C$19+Supuestos!$C$20))</f>
        <v>9968</v>
      </c>
      <c r="I15" s="42" t="n">
        <f aca="false">(Supuestos!$C$9*Supuestos!$C$8*$B15)+(Supuestos!$C$9*Supuestos!$C$11)+(I$6*Supuestos!$C$5*(1-Supuestos!$C$16))-(Supuestos!$C$9*Supuestos!$C$8*Supuestos!$C$10*Supuestos!$C$14)-(Supuestos!$C$9*Supuestos!$C$10*Supuestos!$C$15)-(Supuestos!$C$9*(Supuestos!$C$19+Supuestos!$C$20))</f>
        <v>10547</v>
      </c>
      <c r="J15" s="42" t="n">
        <f aca="false">(Supuestos!$C$9*Supuestos!$C$8*$B15)+(Supuestos!$C$9*Supuestos!$C$11)+(J$6*Supuestos!$C$5*(1-Supuestos!$C$16))-(Supuestos!$C$9*Supuestos!$C$8*Supuestos!$C$10*Supuestos!$C$14)-(Supuestos!$C$9*Supuestos!$C$10*Supuestos!$C$15)-(Supuestos!$C$9*(Supuestos!$C$19+Supuestos!$C$20))</f>
        <v>11705</v>
      </c>
      <c r="K15" s="42" t="n">
        <f aca="false">(Supuestos!$C$9*Supuestos!$C$8*$B15)+(Supuestos!$C$9*Supuestos!$C$11)+(K$6*Supuestos!$C$5*(1-Supuestos!$C$16))-(Supuestos!$C$9*Supuestos!$C$8*Supuestos!$C$10*Supuestos!$C$14)-(Supuestos!$C$9*Supuestos!$C$10*Supuestos!$C$15)-(Supuestos!$C$9*(Supuestos!$C$19+Supuestos!$C$20))</f>
        <v>12863</v>
      </c>
    </row>
    <row r="17" customFormat="false" ht="15" hidden="false" customHeight="true" outlineLevel="0" collapsed="false">
      <c r="B17" s="4" t="s">
        <v>205</v>
      </c>
    </row>
    <row r="18" customFormat="false" ht="15" hidden="false" customHeight="true" outlineLevel="0" collapsed="false">
      <c r="B18" s="5" t="s">
        <v>206</v>
      </c>
      <c r="C18" s="43" t="n">
        <f aca="false">G9</f>
        <v>1199</v>
      </c>
      <c r="E18" s="3" t="s">
        <v>207</v>
      </c>
    </row>
    <row r="19" customFormat="false" ht="15" hidden="false" customHeight="true" outlineLevel="0" collapsed="false">
      <c r="B19" s="7" t="s">
        <v>208</v>
      </c>
      <c r="C19" s="44" t="n">
        <f aca="false">IFERROR((Supuestos!C10*Supuestos!C14*Supuestos!C8+Supuestos!C10*Supuestos!C15+Supuestos!C19+Supuestos!C20-Supuestos!C11)/Supuestos!C8,"n/a")</f>
        <v>0.0438571428571429</v>
      </c>
      <c r="E19" s="3" t="s">
        <v>209</v>
      </c>
    </row>
    <row r="20" customFormat="false" ht="15" hidden="false" customHeight="true" outlineLevel="0" collapsed="false">
      <c r="B20" s="5" t="s">
        <v>210</v>
      </c>
      <c r="C20" s="43" t="n">
        <f aca="false">Unit_Economics!C21</f>
        <v>4797</v>
      </c>
      <c r="E20" s="3" t="s">
        <v>211</v>
      </c>
    </row>
    <row r="21" customFormat="false" ht="15" hidden="false" customHeight="false" outlineLevel="0" collapsed="false">
      <c r="B21" s="12" t="s">
        <v>212</v>
      </c>
      <c r="C21" s="45" t="n">
        <f aca="false">IFERROR((Supuestos!C14*Supuestos!C8+Supuestos!C15+Supuestos!C19+Supuestos!C20-Supuestos!C11)/Supuestos!C8,"n/a")</f>
        <v>0.0635714285714286</v>
      </c>
      <c r="E21" s="14" t="s">
        <v>213</v>
      </c>
    </row>
    <row r="23" customFormat="false" ht="15" hidden="false" customHeight="true" outlineLevel="0" collapsed="false">
      <c r="B23" s="4" t="s">
        <v>214</v>
      </c>
    </row>
    <row r="24" customFormat="false" ht="15" hidden="false" customHeight="true" outlineLevel="0" collapsed="false">
      <c r="B24" s="5" t="s">
        <v>215</v>
      </c>
    </row>
    <row r="25" customFormat="false" ht="15" hidden="false" customHeight="true" outlineLevel="0" collapsed="false">
      <c r="B25" s="5" t="s">
        <v>216</v>
      </c>
    </row>
    <row r="26" customFormat="false" ht="15" hidden="false" customHeight="true" outlineLevel="0" collapsed="false">
      <c r="B26" s="5" t="s">
        <v>217</v>
      </c>
    </row>
    <row r="27" customFormat="false" ht="15" hidden="false" customHeight="true" outlineLevel="0" collapsed="false">
      <c r="B27" s="5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2026-07-28T02:44:05Z</dcterms:created>
  <dc:creator>openpyxl</dc:creator>
  <dc:description/>
  <dc:language>en-US</dc:language>
  <cp:lastModifiedBy/>
  <dcterms:modified xsi:type="dcterms:W3CDTF">2026-07-28T03:19:27Z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